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表说明" sheetId="1" state="visible" r:id="rId1"/>
    <sheet name="计提明细表" sheetId="2" state="visible" r:id="rId2"/>
    <sheet name="做账去向表" sheetId="3" state="visible" r:id="rId3"/>
    <sheet name="供应商列表" sheetId="4" state="visible" r:id="rId4"/>
    <sheet name="物流商费用汇总表" sheetId="5" state="visible" r:id="rId5"/>
    <sheet name="费用归属表（快照）" sheetId="6" state="visible" r:id="rId6"/>
    <sheet name="选项" sheetId="7" state="hidden" r:id="rId7"/>
  </sheets>
  <definedNames>
    <definedName name="清单_付款主体">选项!$A$2:$A$4</definedName>
    <definedName name="清单_物流商">供应商列表!$A$4:$A$25</definedName>
    <definedName name="清单_费用归属">选项!$C$2:$C$14</definedName>
    <definedName name="清单_业务线">选项!$B$2:$B$11</definedName>
    <definedName name="清单_结算类型">选项!$E$2:$E$3</definedName>
    <definedName name="清单_状态">选项!$G$2:$G$7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sz val="9"/>
    </font>
    <font>
      <name val="Microsoft YaHei"/>
      <b val="1"/>
      <sz val="10"/>
    </font>
    <font>
      <name val="Microsoft YaHei"/>
      <b val="1"/>
      <sz val="9"/>
    </font>
    <font>
      <name val="Microsoft YaHei"/>
      <color rgb="007F7F7F"/>
      <sz val="9"/>
    </font>
  </fonts>
  <fills count="10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8EAAD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8" borderId="1" pivotButton="0" quotePrefix="0" xfId="0"/>
    <xf numFmtId="0" fontId="2" fillId="5" borderId="1" applyProtection="1" pivotButton="0" quotePrefix="0" xfId="0">
      <protection locked="0" hidden="0"/>
    </xf>
    <xf numFmtId="4" fontId="2" fillId="9" borderId="1" applyProtection="1" pivotButton="0" quotePrefix="0" xfId="0">
      <protection locked="0" hidden="0"/>
    </xf>
    <xf numFmtId="9" fontId="2" fillId="8" borderId="1" pivotButton="0" quotePrefix="0" xfId="0"/>
    <xf numFmtId="4" fontId="2" fillId="8" borderId="1" pivotButton="0" quotePrefix="0" xfId="0"/>
    <xf numFmtId="0" fontId="2" fillId="8" borderId="1" applyAlignment="1" pivotButton="0" quotePrefix="0" xfId="0">
      <alignment horizontal="left" vertical="center" wrapText="1"/>
    </xf>
    <xf numFmtId="0" fontId="2" fillId="4" borderId="1" pivotButton="0" quotePrefix="0" xfId="0"/>
    <xf numFmtId="4" fontId="2" fillId="4" borderId="1" pivotButton="0" quotePrefix="0" xfId="0"/>
    <xf numFmtId="0" fontId="2" fillId="0" borderId="1" applyProtection="1" pivotButton="0" quotePrefix="0" xfId="0">
      <protection locked="0" hidden="0"/>
    </xf>
    <xf numFmtId="0" fontId="2" fillId="7" borderId="1" applyAlignment="1" applyProtection="1" pivotButton="0" quotePrefix="0" xfId="0">
      <alignment horizontal="left" vertical="center" wrapText="1"/>
      <protection locked="0" hidden="0"/>
    </xf>
    <xf numFmtId="0" fontId="2" fillId="7" borderId="1" applyAlignment="1" applyProtection="1" pivotButton="0" quotePrefix="0" xfId="0">
      <alignment horizontal="center" vertical="center" wrapText="1"/>
      <protection locked="0" hidden="0"/>
    </xf>
    <xf numFmtId="0" fontId="0" fillId="3" borderId="1" pivotButton="0" quotePrefix="0" xfId="0"/>
    <xf numFmtId="4" fontId="4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4" fontId="4" fillId="6" borderId="1" pivotButton="0" quotePrefix="0" xfId="0"/>
    <xf numFmtId="0" fontId="4" fillId="6" borderId="1" pivotButton="0" quotePrefix="0" xfId="0"/>
    <xf numFmtId="1" fontId="4" fillId="3" borderId="1" pivotButton="0" quotePrefix="0" xfId="0"/>
    <xf numFmtId="4" fontId="4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9" fontId="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AADB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物流费用计提表模板 v2.1 —— 使用说明(重构方案 v2.1 配套样表)</t>
        </is>
      </c>
      <c r="B1" s="1" t="inlineStr"/>
    </row>
    <row r="2">
      <c r="A2" s="2" t="inlineStr"/>
    </row>
    <row r="3">
      <c r="A3" s="3" t="inlineStr">
        <is>
          <t>六张表分工</t>
        </is>
      </c>
      <c r="B3" s="3" t="inlineStr"/>
    </row>
    <row r="4">
      <c r="A4" s="2" t="inlineStr">
        <is>
          <t>① 填表说明</t>
        </is>
      </c>
      <c r="B4" s="2" t="inlineStr">
        <is>
          <t>本页。物流部只需要看本页+填② 计提明细表。</t>
        </is>
      </c>
    </row>
    <row r="5">
      <c r="A5" s="2" t="inlineStr">
        <is>
          <t>② 计提明细表</t>
        </is>
      </c>
      <c r="B5" s="2" t="inlineStr">
        <is>
          <t>唯一手填。每行一笔费用:选 付款主体/物流商/费用归属/业务线 + 填含税金额(黄格)。税率/未税/税额/全称/摘要 全部自动,请勿改灰格。右侧浅绿5列=做账维度(财务看/改,物流部不用管)。</t>
        </is>
      </c>
    </row>
    <row r="6">
      <c r="A6" s="2" t="inlineStr">
        <is>
          <t>③ 做账去向表</t>
        </is>
      </c>
      <c r="B6" s="2" t="inlineStr">
        <is>
          <t>财务/审批视角:本月费用准备做到 哪个科目×哪个业务线×哪个部门,全公式自动按明细表维度汇总;行=历史账证实证的维度组合。不用填。</t>
        </is>
      </c>
    </row>
    <row r="7">
      <c r="A7" s="2" t="inlineStr">
        <is>
          <t>④ 供应商列表</t>
        </is>
      </c>
      <c r="B7" s="2" t="inlineStr">
        <is>
          <t>物流商身份+渠道+13类费用归属税率矩阵。由财务工具按月签发快照,物流部勿改;缺物流商请联系财务在工具里新增。</t>
        </is>
      </c>
    </row>
    <row r="8">
      <c r="A8" s="2" t="inlineStr">
        <is>
          <t>⑤ 物流商费用汇总表</t>
        </is>
      </c>
      <c r="B8" s="2" t="inlineStr">
        <is>
          <t>全自动汇总:各主体×税率(9/6/13%)+含税合计+五档进度。不用填。</t>
        </is>
      </c>
    </row>
    <row r="9">
      <c r="A9" s="2" t="inlineStr">
        <is>
          <t>⑥ 费用归属表(快照)</t>
        </is>
      </c>
      <c r="B9" s="2" t="inlineStr">
        <is>
          <t>财务口径:13类费用归属各自怎么做账。由财务工具维护,此处为只读快照。</t>
        </is>
      </c>
    </row>
    <row r="10">
      <c r="A10" s="2" t="inlineStr"/>
    </row>
    <row r="11">
      <c r="A11" s="3" t="inlineStr">
        <is>
          <t>13 类费用归属怎么选(核心,每类科目唯一)</t>
        </is>
      </c>
      <c r="B11" s="3" t="inlineStr"/>
    </row>
    <row r="12">
      <c r="A12" s="2" t="inlineStr">
        <is>
          <t>销售出库费用</t>
        </is>
      </c>
      <c r="B12" s="2" t="inlineStr">
        <is>
          <t>各业务线销售发货运费;装卸费没单列在账单里时,含在这里,不用拆。</t>
        </is>
      </c>
    </row>
    <row r="13">
      <c r="A13" s="2" t="inlineStr">
        <is>
          <t>成品入库费用 / 原料入库费用</t>
        </is>
      </c>
      <c r="B13" s="2" t="inlineStr">
        <is>
          <t>入库方向按料件分:代工厂成品回仓/电商仓成品入仓=成品;孝感工厂采购到付/小料原料=原料。拿不准问财务。</t>
        </is>
      </c>
    </row>
    <row r="14">
      <c r="A14" s="2" t="inlineStr">
        <is>
          <t>成品仓储费用 / 原料仓储费用</t>
        </is>
      </c>
      <c r="B14" s="2" t="inlineStr">
        <is>
          <t>外仓仓储费按存的是成品还是原料分。</t>
        </is>
      </c>
    </row>
    <row r="15">
      <c r="A15" s="2" t="inlineStr">
        <is>
          <t>成品调拨费用 / 原料调拨费用</t>
        </is>
      </c>
      <c r="B15" s="2" t="inlineStr">
        <is>
          <t>仓与仓之间转运。</t>
        </is>
      </c>
    </row>
    <row r="16">
      <c r="A16" s="2" t="inlineStr">
        <is>
          <t>出库/成品入库/原料入库 装卸费用</t>
        </is>
      </c>
      <c r="B16" s="2" t="inlineStr">
        <is>
          <t>仅当账单把装卸费单独列一行时才用(目前只有天鹰);平时装卸含在销售出库里。</t>
        </is>
      </c>
    </row>
    <row r="17">
      <c r="A17" s="2" t="inlineStr">
        <is>
          <t>研发设备采购</t>
        </is>
      </c>
      <c r="B17" s="2" t="inlineStr">
        <is>
          <t>研发外购、研发中试的运费。</t>
        </is>
      </c>
    </row>
    <row r="18">
      <c r="A18" s="2" t="inlineStr">
        <is>
          <t>设备调拨费用</t>
        </is>
      </c>
      <c r="B18" s="2" t="inlineStr">
        <is>
          <t>设备转移、设备仓租。科目部门由财务录入时按每笔需求定,物流部只管填金额+业务描述(写清什么设备、从哪到哪、给谁用)。</t>
        </is>
      </c>
    </row>
    <row r="19">
      <c r="A19" s="2" t="inlineStr">
        <is>
          <t>其它</t>
        </is>
      </c>
      <c r="B19" s="2" t="inlineStr">
        <is>
          <t>捐赠/报废、原料销售运费等,选它并在备注里写清楚。</t>
        </is>
      </c>
    </row>
    <row r="20">
      <c r="A20" s="2" t="inlineStr"/>
    </row>
    <row r="21">
      <c r="A21" s="3" t="inlineStr">
        <is>
          <t>特殊口径</t>
        </is>
      </c>
      <c r="B21" s="3" t="inlineStr"/>
    </row>
    <row r="22">
      <c r="A22" s="2" t="inlineStr">
        <is>
          <t>山姆业务</t>
        </is>
      </c>
      <c r="B22" s="2" t="inlineStr">
        <is>
          <t>不用单独标山姆:山姆鲜食→业务线选「鲜食」;山姆零售→选「山姆零售」。系统自动挂 TO C。</t>
        </is>
      </c>
    </row>
    <row r="23">
      <c r="A23" s="2" t="inlineStr">
        <is>
          <t>海外业务</t>
        </is>
      </c>
      <c r="B23" s="2" t="inlineStr">
        <is>
          <t>业务线选「海外」,并在「业务描述」写明 到岸前/到岸后、自产/外采——这决定付款主体归属。</t>
        </is>
      </c>
    </row>
    <row r="24">
      <c r="A24" s="2" t="inlineStr">
        <is>
          <t>kikiherb</t>
        </is>
      </c>
      <c r="B24" s="2" t="inlineStr">
        <is>
          <t>暂选 业务线=零售,业务描述写 kikiherb(口径确认后模板会更新)。</t>
        </is>
      </c>
    </row>
    <row r="25">
      <c r="A25" s="2" t="inlineStr">
        <is>
          <t>非月结</t>
        </is>
      </c>
      <c r="B25" s="2" t="inlineStr">
        <is>
          <t>结算类型选「非月结」并填经办人(货拉拉、临时用车等)。</t>
        </is>
      </c>
    </row>
    <row r="26">
      <c r="A26" s="2" t="inlineStr"/>
    </row>
    <row r="27">
      <c r="A27" s="3" t="inlineStr">
        <is>
          <t>颜色图例</t>
        </is>
      </c>
      <c r="B27" s="3" t="inlineStr"/>
    </row>
    <row r="28">
      <c r="A28" s="2" t="inlineStr">
        <is>
          <t>黄底</t>
        </is>
      </c>
      <c r="B28" s="2" t="inlineStr">
        <is>
          <t>手填·唯一必填数字(含税金额)</t>
        </is>
      </c>
    </row>
    <row r="29">
      <c r="A29" s="2" t="inlineStr">
        <is>
          <t>浅黄底</t>
        </is>
      </c>
      <c r="B29" s="2" t="inlineStr">
        <is>
          <t>手填·下拉选择或选填文字</t>
        </is>
      </c>
    </row>
    <row r="30">
      <c r="A30" s="2" t="inlineStr">
        <is>
          <t>灰底</t>
        </is>
      </c>
      <c r="B30" s="2" t="inlineStr">
        <is>
          <t>公式自动,勿手改(表已锁定保护)</t>
        </is>
      </c>
    </row>
    <row r="31">
      <c r="A31" s="2" t="inlineStr">
        <is>
          <t>蓝底</t>
        </is>
      </c>
      <c r="B31" s="2" t="inlineStr">
        <is>
          <t>财务工具回填(凭证号/定稿金额),勿手改</t>
        </is>
      </c>
    </row>
    <row r="32">
      <c r="A32" s="2" t="inlineStr">
        <is>
          <t>橙底</t>
        </is>
      </c>
      <c r="B32" s="2" t="inlineStr">
        <is>
          <t>税率特例(与该物流商默认档不同,如易风达/极鲜达仓储6%)</t>
        </is>
      </c>
    </row>
    <row r="33">
      <c r="A33" s="2" t="inlineStr">
        <is>
          <t>浅绿底</t>
        </is>
      </c>
      <c r="B33" s="2" t="inlineStr">
        <is>
          <t>做账维度区(明细表右侧5列:借方科目/部门/费用项目/产品分类/产品项目)——按账证实证规则公式预填,财务可直接改格子,工作台以列值为准;物流部不用管</t>
        </is>
      </c>
    </row>
    <row r="34">
      <c r="A34" s="2" t="inlineStr">
        <is>
          <t>绿底</t>
        </is>
      </c>
      <c r="B34" s="2" t="inlineStr">
        <is>
          <t>财务口径快照,物流部不用管</t>
        </is>
      </c>
    </row>
    <row r="35">
      <c r="A35" s="2" t="inlineStr"/>
    </row>
    <row r="36">
      <c r="A36" s="4" t="inlineStr">
        <is>
          <t>提交</t>
        </is>
      </c>
      <c r="B36" s="2" t="inlineStr">
        <is>
          <t>每月底把本文件发给财务核算。文件名请保持「物流费用计提表_2026-MM」。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X6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5" customWidth="1" min="4" max="4"/>
    <col width="10" customWidth="1" min="5" max="5"/>
    <col width="15" customWidth="1" min="6" max="6"/>
    <col width="9" customWidth="1" min="7" max="7"/>
    <col width="8" customWidth="1" min="8" max="8"/>
    <col width="12" customWidth="1" min="9" max="9"/>
    <col width="7" customWidth="1" min="10" max="10"/>
    <col width="12" customWidth="1" min="11" max="11"/>
    <col width="11" customWidth="1" min="12" max="12"/>
    <col width="28" customWidth="1" min="13" max="13"/>
    <col width="44" customWidth="1" min="14" max="14"/>
    <col width="13" customWidth="1" min="15" max="15"/>
    <col width="12" customWidth="1" min="16" max="16"/>
    <col width="11" customWidth="1" min="17" max="17"/>
    <col width="10" customWidth="1" min="18" max="18"/>
    <col width="12" customWidth="1" min="19" max="19"/>
    <col width="18" customWidth="1" min="20" max="20"/>
    <col width="20" customWidth="1" min="21" max="21"/>
    <col width="30" customWidth="1" min="22" max="22"/>
    <col width="11" customWidth="1" min="23" max="23"/>
    <col width="11" customWidth="1" min="24" max="24"/>
  </cols>
  <sheetData>
    <row r="1">
      <c r="A1" s="1" t="inlineStr">
        <is>
          <t>物流费用计提 · 计提明细表(唯一手填表)　账期 2026-07　[v2.1 样表·13类费用归属闭环]</t>
        </is>
      </c>
    </row>
    <row r="2">
      <c r="A2" s="5" t="inlineStr">
        <is>
          <t>填表须知:黄底=手填(含税金额唯一必填数字);浅黄=下拉/选填;灰底=公式自动(已锁定);蓝底=工具回填;浅绿=做账维度(公式按账证实证规则预填,财务可直接改,工具以列值为准)。一行一笔费用=一张凭证;示例行为 2026-05 真数据机翻,正式使用时清空。</t>
        </is>
      </c>
      <c r="T2" s="6" t="inlineStr">
        <is>
          <t>── 做账维度区(财务看/改,物流部不用管)──</t>
        </is>
      </c>
    </row>
    <row r="3" ht="30" customHeight="1">
      <c r="A3" s="7" t="inlineStr">
        <is>
          <t>账期</t>
        </is>
      </c>
      <c r="B3" s="7" t="inlineStr">
        <is>
          <t>付款主体</t>
        </is>
      </c>
      <c r="C3" s="7" t="inlineStr">
        <is>
          <t>物流商简称</t>
        </is>
      </c>
      <c r="D3" s="7" t="inlineStr">
        <is>
          <t>费用归属</t>
        </is>
      </c>
      <c r="E3" s="7" t="inlineStr">
        <is>
          <t>业务线</t>
        </is>
      </c>
      <c r="F3" s="7" t="inlineStr">
        <is>
          <t>业务描述
(摘要用/来源·选填)</t>
        </is>
      </c>
      <c r="G3" s="7" t="inlineStr">
        <is>
          <t>结算类型</t>
        </is>
      </c>
      <c r="H3" s="7" t="inlineStr">
        <is>
          <t>经办人</t>
        </is>
      </c>
      <c r="I3" s="7" t="inlineStr">
        <is>
          <t>含税金额</t>
        </is>
      </c>
      <c r="J3" s="7" t="inlineStr">
        <is>
          <t>税率</t>
        </is>
      </c>
      <c r="K3" s="7" t="inlineStr">
        <is>
          <t>未税</t>
        </is>
      </c>
      <c r="L3" s="7" t="inlineStr">
        <is>
          <t>税额</t>
        </is>
      </c>
      <c r="M3" s="7" t="inlineStr">
        <is>
          <t>物流商全称</t>
        </is>
      </c>
      <c r="N3" s="7" t="inlineStr">
        <is>
          <t>摘要(公式自动)</t>
        </is>
      </c>
      <c r="O3" s="7" t="inlineStr">
        <is>
          <t>计提凭证号</t>
        </is>
      </c>
      <c r="P3" s="7" t="inlineStr">
        <is>
          <t>对账定稿金额</t>
        </is>
      </c>
      <c r="Q3" s="7" t="inlineStr">
        <is>
          <t>计提差异</t>
        </is>
      </c>
      <c r="R3" s="7" t="inlineStr">
        <is>
          <t>差异处理</t>
        </is>
      </c>
      <c r="S3" s="7" t="inlineStr">
        <is>
          <t>备注</t>
        </is>
      </c>
      <c r="T3" s="7" t="inlineStr">
        <is>
          <t>借方科目</t>
        </is>
      </c>
      <c r="U3" s="7" t="inlineStr">
        <is>
          <t>部门</t>
        </is>
      </c>
      <c r="V3" s="7" t="inlineStr">
        <is>
          <t>费用项目</t>
        </is>
      </c>
      <c r="W3" s="7" t="inlineStr">
        <is>
          <t>产品分类
(业务线维度)</t>
        </is>
      </c>
      <c r="X3" s="7" t="inlineStr">
        <is>
          <t>产品项目
(TO C等)</t>
        </is>
      </c>
    </row>
    <row r="4">
      <c r="A4" s="8" t="inlineStr">
        <is>
          <t>2026-07</t>
        </is>
      </c>
      <c r="B4" s="9" t="inlineStr">
        <is>
          <t>深圳星期零</t>
        </is>
      </c>
      <c r="C4" s="9" t="inlineStr">
        <is>
          <t>顺丰冷运</t>
        </is>
      </c>
      <c r="D4" s="9" t="inlineStr">
        <is>
          <t>销售出库费用</t>
        </is>
      </c>
      <c r="E4" s="9" t="inlineStr">
        <is>
          <t>豆蛋制品</t>
        </is>
      </c>
      <c r="F4" s="9" t="inlineStr"/>
      <c r="G4" s="9" t="inlineStr">
        <is>
          <t>月结</t>
        </is>
      </c>
      <c r="H4" s="9" t="inlineStr"/>
      <c r="I4" s="10" t="n">
        <v>270</v>
      </c>
      <c r="J4" s="11">
        <f>IFERROR(INDEX(供应商列表!$F$4:$R$25,MATCH(C4,供应商列表!$A$4:$A$25,0),MATCH(D4,供应商列表!$F$3:$R$3,0)),"")</f>
        <v/>
      </c>
      <c r="K4" s="12">
        <f>IFERROR(ROUND(I4/(1+J4),2),"")</f>
        <v/>
      </c>
      <c r="L4" s="12">
        <f>IFERROR(I4-K4,"")</f>
        <v/>
      </c>
      <c r="M4" s="8">
        <f>IFERROR(INDEX(供应商列表!$B$4:$B$25,MATCH(C4,供应商列表!$A$4:$A$25,0)),"")</f>
        <v/>
      </c>
      <c r="N4" s="13">
        <f>"计提"&amp;M4&amp;(MID(A4,6,2)*1)&amp;"月"&amp;IFERROR(INDEX(供应商列表!$E$4:$E$25,MATCH(C4,供应商列表!$A$4:$A$25,0)),"线下")&amp;IF(F4&lt;&gt;"",F4,IF(OR(E4="—",E4=""),"",E4))&amp;IFERROR(INDEX('费用归属表（快照）'!$F$4:$F$16,MATCH(D4,'费用归属表（快照）'!$A$4:$A$16,0)),"")</f>
        <v/>
      </c>
      <c r="O4" s="14" t="n"/>
      <c r="P4" s="15" t="n"/>
      <c r="Q4" s="12">
        <f>IF(P4="","",P4-I4)</f>
        <v/>
      </c>
      <c r="R4" s="16" t="n"/>
      <c r="S4" s="16" t="n"/>
      <c r="T4" s="17">
        <f>IF(D4="","",IFERROR(INDEX('费用归属表（快照）'!$C$4:$C$16,MATCH(D4,'费用归属表（快照）'!$A$4:$A$16,0)),""))</f>
        <v/>
      </c>
      <c r="U4" s="17">
        <f>IF(D4="","",IF(AND(D4="销售出库费用",B4="深圳星期九"),"永续供应中心 0010401",IF(AND(D4="原料入库费用",E4="小料"),"茶饮小料部 0030902",IFERROR(INDEX('费用归属表（快照）'!$D$4:$D$16,MATCH(D4,'费用归属表（快照）'!$A$4:$A$16,0)),""))))</f>
        <v/>
      </c>
      <c r="V4" s="17">
        <f>IF(D4="","",IFERROR(INDEX('费用归属表（快照）'!$B$4:$B$16,MATCH(D4,'费用归属表（快照）'!$A$4:$A$16,0)),""))</f>
        <v/>
      </c>
      <c r="W4" s="18">
        <f>IF(OR(E4="",AND(LEFT(T4,4)&lt;&gt;"6601",LEFT(T4,4)&lt;&gt;"6401")),"",IFERROR(IF(INDEX(选项!$I$2:$I$11,MATCH(E4,选项!$H$2:$H$11,0))="","",INDEX(选项!$I$2:$I$11,MATCH(E4,选项!$H$2:$H$11,0))),""))</f>
        <v/>
      </c>
      <c r="X4" s="18">
        <f>IF(OR(E4="",AND(LEFT(T4,4)&lt;&gt;"6601",LEFT(T4,4)&lt;&gt;"6401")),"",IFERROR(IF(INDEX(选项!$J$2:$J$11,MATCH(E4,选项!$H$2:$H$11,0))="","",INDEX(选项!$J$2:$J$11,MATCH(E4,选项!$H$2:$H$11,0))),""))</f>
        <v/>
      </c>
    </row>
    <row r="5">
      <c r="A5" s="8" t="inlineStr">
        <is>
          <t>2026-07</t>
        </is>
      </c>
      <c r="B5" s="9" t="inlineStr">
        <is>
          <t>深圳星期零</t>
        </is>
      </c>
      <c r="C5" s="9" t="inlineStr">
        <is>
          <t>顺丰冷运</t>
        </is>
      </c>
      <c r="D5" s="9" t="inlineStr">
        <is>
          <t>原料入库费用</t>
        </is>
      </c>
      <c r="E5" s="9" t="inlineStr">
        <is>
          <t>小料</t>
        </is>
      </c>
      <c r="F5" s="9" t="inlineStr">
        <is>
          <t>小料</t>
        </is>
      </c>
      <c r="G5" s="9" t="inlineStr">
        <is>
          <t>月结</t>
        </is>
      </c>
      <c r="H5" s="9" t="inlineStr"/>
      <c r="I5" s="10" t="n">
        <v>1125</v>
      </c>
      <c r="J5" s="11">
        <f>IFERROR(INDEX(供应商列表!$F$4:$R$25,MATCH(C5,供应商列表!$A$4:$A$25,0),MATCH(D5,供应商列表!$F$3:$R$3,0)),"")</f>
        <v/>
      </c>
      <c r="K5" s="12">
        <f>IFERROR(ROUND(I5/(1+J5),2),"")</f>
        <v/>
      </c>
      <c r="L5" s="12">
        <f>IFERROR(I5-K5,"")</f>
        <v/>
      </c>
      <c r="M5" s="8">
        <f>IFERROR(INDEX(供应商列表!$B$4:$B$25,MATCH(C5,供应商列表!$A$4:$A$25,0)),"")</f>
        <v/>
      </c>
      <c r="N5" s="13">
        <f>"计提"&amp;M5&amp;(MID(A5,6,2)*1)&amp;"月"&amp;IFERROR(INDEX(供应商列表!$E$4:$E$25,MATCH(C5,供应商列表!$A$4:$A$25,0)),"线下")&amp;IF(F5&lt;&gt;"",F5,IF(OR(E5="—",E5=""),"",E5))&amp;IFERROR(INDEX('费用归属表（快照）'!$F$4:$F$16,MATCH(D5,'费用归属表（快照）'!$A$4:$A$16,0)),"")</f>
        <v/>
      </c>
      <c r="O5" s="14" t="n"/>
      <c r="P5" s="15" t="n"/>
      <c r="Q5" s="12">
        <f>IF(P5="","",P5-I5)</f>
        <v/>
      </c>
      <c r="R5" s="16" t="n"/>
      <c r="S5" s="16" t="n"/>
      <c r="T5" s="17">
        <f>IF(D5="","",IFERROR(INDEX('费用归属表（快照）'!$C$4:$C$16,MATCH(D5,'费用归属表（快照）'!$A$4:$A$16,0)),""))</f>
        <v/>
      </c>
      <c r="U5" s="17">
        <f>IF(D5="","",IF(AND(D5="销售出库费用",B5="深圳星期九"),"永续供应中心 0010401",IF(AND(D5="原料入库费用",E5="小料"),"茶饮小料部 0030902",IFERROR(INDEX('费用归属表（快照）'!$D$4:$D$16,MATCH(D5,'费用归属表（快照）'!$A$4:$A$16,0)),""))))</f>
        <v/>
      </c>
      <c r="V5" s="17">
        <f>IF(D5="","",IFERROR(INDEX('费用归属表（快照）'!$B$4:$B$16,MATCH(D5,'费用归属表（快照）'!$A$4:$A$16,0)),""))</f>
        <v/>
      </c>
      <c r="W5" s="18">
        <f>IF(OR(E5="",AND(LEFT(T5,4)&lt;&gt;"6601",LEFT(T5,4)&lt;&gt;"6401")),"",IFERROR(IF(INDEX(选项!$I$2:$I$11,MATCH(E5,选项!$H$2:$H$11,0))="","",INDEX(选项!$I$2:$I$11,MATCH(E5,选项!$H$2:$H$11,0))),""))</f>
        <v/>
      </c>
      <c r="X5" s="18">
        <f>IF(OR(E5="",AND(LEFT(T5,4)&lt;&gt;"6601",LEFT(T5,4)&lt;&gt;"6401")),"",IFERROR(IF(INDEX(选项!$J$2:$J$11,MATCH(E5,选项!$H$2:$H$11,0))="","",INDEX(选项!$J$2:$J$11,MATCH(E5,选项!$H$2:$H$11,0))),""))</f>
        <v/>
      </c>
    </row>
    <row r="6">
      <c r="A6" s="8" t="inlineStr">
        <is>
          <t>2026-07</t>
        </is>
      </c>
      <c r="B6" s="9" t="inlineStr">
        <is>
          <t>深圳星期零</t>
        </is>
      </c>
      <c r="C6" s="9" t="inlineStr">
        <is>
          <t>顺丰冷运</t>
        </is>
      </c>
      <c r="D6" s="9" t="inlineStr">
        <is>
          <t>销售出库费用</t>
        </is>
      </c>
      <c r="E6" s="9" t="inlineStr">
        <is>
          <t>小料</t>
        </is>
      </c>
      <c r="F6" s="9" t="inlineStr"/>
      <c r="G6" s="9" t="inlineStr">
        <is>
          <t>月结</t>
        </is>
      </c>
      <c r="H6" s="9" t="inlineStr"/>
      <c r="I6" s="10" t="n">
        <v>2220</v>
      </c>
      <c r="J6" s="11">
        <f>IFERROR(INDEX(供应商列表!$F$4:$R$25,MATCH(C6,供应商列表!$A$4:$A$25,0),MATCH(D6,供应商列表!$F$3:$R$3,0)),"")</f>
        <v/>
      </c>
      <c r="K6" s="12">
        <f>IFERROR(ROUND(I6/(1+J6),2),"")</f>
        <v/>
      </c>
      <c r="L6" s="12">
        <f>IFERROR(I6-K6,"")</f>
        <v/>
      </c>
      <c r="M6" s="8">
        <f>IFERROR(INDEX(供应商列表!$B$4:$B$25,MATCH(C6,供应商列表!$A$4:$A$25,0)),"")</f>
        <v/>
      </c>
      <c r="N6" s="13">
        <f>"计提"&amp;M6&amp;(MID(A6,6,2)*1)&amp;"月"&amp;IFERROR(INDEX(供应商列表!$E$4:$E$25,MATCH(C6,供应商列表!$A$4:$A$25,0)),"线下")&amp;IF(F6&lt;&gt;"",F6,IF(OR(E6="—",E6=""),"",E6))&amp;IFERROR(INDEX('费用归属表（快照）'!$F$4:$F$16,MATCH(D6,'费用归属表（快照）'!$A$4:$A$16,0)),"")</f>
        <v/>
      </c>
      <c r="O6" s="14" t="n"/>
      <c r="P6" s="15" t="n"/>
      <c r="Q6" s="12">
        <f>IF(P6="","",P6-I6)</f>
        <v/>
      </c>
      <c r="R6" s="16" t="n"/>
      <c r="S6" s="16" t="n"/>
      <c r="T6" s="17">
        <f>IF(D6="","",IFERROR(INDEX('费用归属表（快照）'!$C$4:$C$16,MATCH(D6,'费用归属表（快照）'!$A$4:$A$16,0)),""))</f>
        <v/>
      </c>
      <c r="U6" s="17">
        <f>IF(D6="","",IF(AND(D6="销售出库费用",B6="深圳星期九"),"永续供应中心 0010401",IF(AND(D6="原料入库费用",E6="小料"),"茶饮小料部 0030902",IFERROR(INDEX('费用归属表（快照）'!$D$4:$D$16,MATCH(D6,'费用归属表（快照）'!$A$4:$A$16,0)),""))))</f>
        <v/>
      </c>
      <c r="V6" s="17">
        <f>IF(D6="","",IFERROR(INDEX('费用归属表（快照）'!$B$4:$B$16,MATCH(D6,'费用归属表（快照）'!$A$4:$A$16,0)),""))</f>
        <v/>
      </c>
      <c r="W6" s="18">
        <f>IF(OR(E6="",AND(LEFT(T6,4)&lt;&gt;"6601",LEFT(T6,4)&lt;&gt;"6401")),"",IFERROR(IF(INDEX(选项!$I$2:$I$11,MATCH(E6,选项!$H$2:$H$11,0))="","",INDEX(选项!$I$2:$I$11,MATCH(E6,选项!$H$2:$H$11,0))),""))</f>
        <v/>
      </c>
      <c r="X6" s="18">
        <f>IF(OR(E6="",AND(LEFT(T6,4)&lt;&gt;"6601",LEFT(T6,4)&lt;&gt;"6401")),"",IFERROR(IF(INDEX(选项!$J$2:$J$11,MATCH(E6,选项!$H$2:$H$11,0))="","",INDEX(选项!$J$2:$J$11,MATCH(E6,选项!$H$2:$H$11,0))),""))</f>
        <v/>
      </c>
    </row>
    <row r="7">
      <c r="A7" s="8" t="inlineStr">
        <is>
          <t>2026-07</t>
        </is>
      </c>
      <c r="B7" s="9" t="inlineStr">
        <is>
          <t>深圳星期零</t>
        </is>
      </c>
      <c r="C7" s="9" t="inlineStr">
        <is>
          <t>顺丰速运</t>
        </is>
      </c>
      <c r="D7" s="9" t="inlineStr">
        <is>
          <t>销售出库费用</t>
        </is>
      </c>
      <c r="E7" s="9" t="inlineStr">
        <is>
          <t>植物肉</t>
        </is>
      </c>
      <c r="F7" s="9" t="inlineStr"/>
      <c r="G7" s="9" t="inlineStr">
        <is>
          <t>月结</t>
        </is>
      </c>
      <c r="H7" s="9" t="inlineStr"/>
      <c r="I7" s="10" t="n">
        <v>384</v>
      </c>
      <c r="J7" s="11">
        <f>IFERROR(INDEX(供应商列表!$F$4:$R$25,MATCH(C7,供应商列表!$A$4:$A$25,0),MATCH(D7,供应商列表!$F$3:$R$3,0)),"")</f>
        <v/>
      </c>
      <c r="K7" s="12">
        <f>IFERROR(ROUND(I7/(1+J7),2),"")</f>
        <v/>
      </c>
      <c r="L7" s="12">
        <f>IFERROR(I7-K7,"")</f>
        <v/>
      </c>
      <c r="M7" s="8">
        <f>IFERROR(INDEX(供应商列表!$B$4:$B$25,MATCH(C7,供应商列表!$A$4:$A$25,0)),"")</f>
        <v/>
      </c>
      <c r="N7" s="13">
        <f>"计提"&amp;M7&amp;(MID(A7,6,2)*1)&amp;"月"&amp;IFERROR(INDEX(供应商列表!$E$4:$E$25,MATCH(C7,供应商列表!$A$4:$A$25,0)),"线下")&amp;IF(F7&lt;&gt;"",F7,IF(OR(E7="—",E7=""),"",E7))&amp;IFERROR(INDEX('费用归属表（快照）'!$F$4:$F$16,MATCH(D7,'费用归属表（快照）'!$A$4:$A$16,0)),"")</f>
        <v/>
      </c>
      <c r="O7" s="14" t="n"/>
      <c r="P7" s="15" t="n"/>
      <c r="Q7" s="12">
        <f>IF(P7="","",P7-I7)</f>
        <v/>
      </c>
      <c r="R7" s="16" t="n"/>
      <c r="S7" s="16" t="n"/>
      <c r="T7" s="17">
        <f>IF(D7="","",IFERROR(INDEX('费用归属表（快照）'!$C$4:$C$16,MATCH(D7,'费用归属表（快照）'!$A$4:$A$16,0)),""))</f>
        <v/>
      </c>
      <c r="U7" s="17">
        <f>IF(D7="","",IF(AND(D7="销售出库费用",B7="深圳星期九"),"永续供应中心 0010401",IF(AND(D7="原料入库费用",E7="小料"),"茶饮小料部 0030902",IFERROR(INDEX('费用归属表（快照）'!$D$4:$D$16,MATCH(D7,'费用归属表（快照）'!$A$4:$A$16,0)),""))))</f>
        <v/>
      </c>
      <c r="V7" s="17">
        <f>IF(D7="","",IFERROR(INDEX('费用归属表（快照）'!$B$4:$B$16,MATCH(D7,'费用归属表（快照）'!$A$4:$A$16,0)),""))</f>
        <v/>
      </c>
      <c r="W7" s="18">
        <f>IF(OR(E7="",AND(LEFT(T7,4)&lt;&gt;"6601",LEFT(T7,4)&lt;&gt;"6401")),"",IFERROR(IF(INDEX(选项!$I$2:$I$11,MATCH(E7,选项!$H$2:$H$11,0))="","",INDEX(选项!$I$2:$I$11,MATCH(E7,选项!$H$2:$H$11,0))),""))</f>
        <v/>
      </c>
      <c r="X7" s="18">
        <f>IF(OR(E7="",AND(LEFT(T7,4)&lt;&gt;"6601",LEFT(T7,4)&lt;&gt;"6401")),"",IFERROR(IF(INDEX(选项!$J$2:$J$11,MATCH(E7,选项!$H$2:$H$11,0))="","",INDEX(选项!$J$2:$J$11,MATCH(E7,选项!$H$2:$H$11,0))),""))</f>
        <v/>
      </c>
    </row>
    <row r="8">
      <c r="A8" s="8" t="inlineStr">
        <is>
          <t>2026-07</t>
        </is>
      </c>
      <c r="B8" s="9" t="inlineStr">
        <is>
          <t>深圳星期零</t>
        </is>
      </c>
      <c r="C8" s="9" t="inlineStr">
        <is>
          <t>顺丰速运</t>
        </is>
      </c>
      <c r="D8" s="9" t="inlineStr">
        <is>
          <t>销售出库费用</t>
        </is>
      </c>
      <c r="E8" s="9" t="inlineStr">
        <is>
          <t>鲜食</t>
        </is>
      </c>
      <c r="F8" s="9" t="inlineStr"/>
      <c r="G8" s="9" t="inlineStr">
        <is>
          <t>月结</t>
        </is>
      </c>
      <c r="H8" s="9" t="inlineStr"/>
      <c r="I8" s="10" t="n">
        <v>66</v>
      </c>
      <c r="J8" s="11">
        <f>IFERROR(INDEX(供应商列表!$F$4:$R$25,MATCH(C8,供应商列表!$A$4:$A$25,0),MATCH(D8,供应商列表!$F$3:$R$3,0)),"")</f>
        <v/>
      </c>
      <c r="K8" s="12">
        <f>IFERROR(ROUND(I8/(1+J8),2),"")</f>
        <v/>
      </c>
      <c r="L8" s="12">
        <f>IFERROR(I8-K8,"")</f>
        <v/>
      </c>
      <c r="M8" s="8">
        <f>IFERROR(INDEX(供应商列表!$B$4:$B$25,MATCH(C8,供应商列表!$A$4:$A$25,0)),"")</f>
        <v/>
      </c>
      <c r="N8" s="13">
        <f>"计提"&amp;M8&amp;(MID(A8,6,2)*1)&amp;"月"&amp;IFERROR(INDEX(供应商列表!$E$4:$E$25,MATCH(C8,供应商列表!$A$4:$A$25,0)),"线下")&amp;IF(F8&lt;&gt;"",F8,IF(OR(E8="—",E8=""),"",E8))&amp;IFERROR(INDEX('费用归属表（快照）'!$F$4:$F$16,MATCH(D8,'费用归属表（快照）'!$A$4:$A$16,0)),"")</f>
        <v/>
      </c>
      <c r="O8" s="14" t="n"/>
      <c r="P8" s="15" t="n"/>
      <c r="Q8" s="12">
        <f>IF(P8="","",P8-I8)</f>
        <v/>
      </c>
      <c r="R8" s="16" t="n"/>
      <c r="S8" s="16" t="n"/>
      <c r="T8" s="17">
        <f>IF(D8="","",IFERROR(INDEX('费用归属表（快照）'!$C$4:$C$16,MATCH(D8,'费用归属表（快照）'!$A$4:$A$16,0)),""))</f>
        <v/>
      </c>
      <c r="U8" s="17">
        <f>IF(D8="","",IF(AND(D8="销售出库费用",B8="深圳星期九"),"永续供应中心 0010401",IF(AND(D8="原料入库费用",E8="小料"),"茶饮小料部 0030902",IFERROR(INDEX('费用归属表（快照）'!$D$4:$D$16,MATCH(D8,'费用归属表（快照）'!$A$4:$A$16,0)),""))))</f>
        <v/>
      </c>
      <c r="V8" s="17">
        <f>IF(D8="","",IFERROR(INDEX('费用归属表（快照）'!$B$4:$B$16,MATCH(D8,'费用归属表（快照）'!$A$4:$A$16,0)),""))</f>
        <v/>
      </c>
      <c r="W8" s="18">
        <f>IF(OR(E8="",AND(LEFT(T8,4)&lt;&gt;"6601",LEFT(T8,4)&lt;&gt;"6401")),"",IFERROR(IF(INDEX(选项!$I$2:$I$11,MATCH(E8,选项!$H$2:$H$11,0))="","",INDEX(选项!$I$2:$I$11,MATCH(E8,选项!$H$2:$H$11,0))),""))</f>
        <v/>
      </c>
      <c r="X8" s="18">
        <f>IF(OR(E8="",AND(LEFT(T8,4)&lt;&gt;"6601",LEFT(T8,4)&lt;&gt;"6401")),"",IFERROR(IF(INDEX(选项!$J$2:$J$11,MATCH(E8,选项!$H$2:$H$11,0))="","",INDEX(选项!$J$2:$J$11,MATCH(E8,选项!$H$2:$H$11,0))),""))</f>
        <v/>
      </c>
    </row>
    <row r="9">
      <c r="A9" s="8" t="inlineStr">
        <is>
          <t>2026-07</t>
        </is>
      </c>
      <c r="B9" s="9" t="inlineStr">
        <is>
          <t>深圳星期零</t>
        </is>
      </c>
      <c r="C9" s="9" t="inlineStr">
        <is>
          <t>顺丰速运</t>
        </is>
      </c>
      <c r="D9" s="9" t="inlineStr">
        <is>
          <t>销售出库费用</t>
        </is>
      </c>
      <c r="E9" s="9" t="inlineStr">
        <is>
          <t>豆蛋制品</t>
        </is>
      </c>
      <c r="F9" s="9" t="inlineStr"/>
      <c r="G9" s="9" t="inlineStr">
        <is>
          <t>月结</t>
        </is>
      </c>
      <c r="H9" s="9" t="inlineStr"/>
      <c r="I9" s="10" t="n">
        <v>268</v>
      </c>
      <c r="J9" s="11">
        <f>IFERROR(INDEX(供应商列表!$F$4:$R$25,MATCH(C9,供应商列表!$A$4:$A$25,0),MATCH(D9,供应商列表!$F$3:$R$3,0)),"")</f>
        <v/>
      </c>
      <c r="K9" s="12">
        <f>IFERROR(ROUND(I9/(1+J9),2),"")</f>
        <v/>
      </c>
      <c r="L9" s="12">
        <f>IFERROR(I9-K9,"")</f>
        <v/>
      </c>
      <c r="M9" s="8">
        <f>IFERROR(INDEX(供应商列表!$B$4:$B$25,MATCH(C9,供应商列表!$A$4:$A$25,0)),"")</f>
        <v/>
      </c>
      <c r="N9" s="13">
        <f>"计提"&amp;M9&amp;(MID(A9,6,2)*1)&amp;"月"&amp;IFERROR(INDEX(供应商列表!$E$4:$E$25,MATCH(C9,供应商列表!$A$4:$A$25,0)),"线下")&amp;IF(F9&lt;&gt;"",F9,IF(OR(E9="—",E9=""),"",E9))&amp;IFERROR(INDEX('费用归属表（快照）'!$F$4:$F$16,MATCH(D9,'费用归属表（快照）'!$A$4:$A$16,0)),"")</f>
        <v/>
      </c>
      <c r="O9" s="14" t="n"/>
      <c r="P9" s="15" t="n"/>
      <c r="Q9" s="12">
        <f>IF(P9="","",P9-I9)</f>
        <v/>
      </c>
      <c r="R9" s="16" t="n"/>
      <c r="S9" s="16" t="n"/>
      <c r="T9" s="17">
        <f>IF(D9="","",IFERROR(INDEX('费用归属表（快照）'!$C$4:$C$16,MATCH(D9,'费用归属表（快照）'!$A$4:$A$16,0)),""))</f>
        <v/>
      </c>
      <c r="U9" s="17">
        <f>IF(D9="","",IF(AND(D9="销售出库费用",B9="深圳星期九"),"永续供应中心 0010401",IF(AND(D9="原料入库费用",E9="小料"),"茶饮小料部 0030902",IFERROR(INDEX('费用归属表（快照）'!$D$4:$D$16,MATCH(D9,'费用归属表（快照）'!$A$4:$A$16,0)),""))))</f>
        <v/>
      </c>
      <c r="V9" s="17">
        <f>IF(D9="","",IFERROR(INDEX('费用归属表（快照）'!$B$4:$B$16,MATCH(D9,'费用归属表（快照）'!$A$4:$A$16,0)),""))</f>
        <v/>
      </c>
      <c r="W9" s="18">
        <f>IF(OR(E9="",AND(LEFT(T9,4)&lt;&gt;"6601",LEFT(T9,4)&lt;&gt;"6401")),"",IFERROR(IF(INDEX(选项!$I$2:$I$11,MATCH(E9,选项!$H$2:$H$11,0))="","",INDEX(选项!$I$2:$I$11,MATCH(E9,选项!$H$2:$H$11,0))),""))</f>
        <v/>
      </c>
      <c r="X9" s="18">
        <f>IF(OR(E9="",AND(LEFT(T9,4)&lt;&gt;"6601",LEFT(T9,4)&lt;&gt;"6401")),"",IFERROR(IF(INDEX(选项!$J$2:$J$11,MATCH(E9,选项!$H$2:$H$11,0))="","",INDEX(选项!$J$2:$J$11,MATCH(E9,选项!$H$2:$H$11,0))),""))</f>
        <v/>
      </c>
    </row>
    <row r="10">
      <c r="A10" s="8" t="inlineStr">
        <is>
          <t>2026-07</t>
        </is>
      </c>
      <c r="B10" s="9" t="inlineStr">
        <is>
          <t>深圳星期零</t>
        </is>
      </c>
      <c r="C10" s="9" t="inlineStr">
        <is>
          <t>顺丰速运</t>
        </is>
      </c>
      <c r="D10" s="9" t="inlineStr">
        <is>
          <t>销售出库费用</t>
        </is>
      </c>
      <c r="E10" s="9" t="inlineStr">
        <is>
          <t>零售</t>
        </is>
      </c>
      <c r="F10" s="9" t="inlineStr"/>
      <c r="G10" s="9" t="inlineStr">
        <is>
          <t>月结</t>
        </is>
      </c>
      <c r="H10" s="9" t="inlineStr"/>
      <c r="I10" s="10" t="n">
        <v>175</v>
      </c>
      <c r="J10" s="11">
        <f>IFERROR(INDEX(供应商列表!$F$4:$R$25,MATCH(C10,供应商列表!$A$4:$A$25,0),MATCH(D10,供应商列表!$F$3:$R$3,0)),"")</f>
        <v/>
      </c>
      <c r="K10" s="12">
        <f>IFERROR(ROUND(I10/(1+J10),2),"")</f>
        <v/>
      </c>
      <c r="L10" s="12">
        <f>IFERROR(I10-K10,"")</f>
        <v/>
      </c>
      <c r="M10" s="8">
        <f>IFERROR(INDEX(供应商列表!$B$4:$B$25,MATCH(C10,供应商列表!$A$4:$A$25,0)),"")</f>
        <v/>
      </c>
      <c r="N10" s="13">
        <f>"计提"&amp;M10&amp;(MID(A10,6,2)*1)&amp;"月"&amp;IFERROR(INDEX(供应商列表!$E$4:$E$25,MATCH(C10,供应商列表!$A$4:$A$25,0)),"线下")&amp;IF(F10&lt;&gt;"",F10,IF(OR(E10="—",E10=""),"",E10))&amp;IFERROR(INDEX('费用归属表（快照）'!$F$4:$F$16,MATCH(D10,'费用归属表（快照）'!$A$4:$A$16,0)),"")</f>
        <v/>
      </c>
      <c r="O10" s="14" t="n"/>
      <c r="P10" s="15" t="n"/>
      <c r="Q10" s="12">
        <f>IF(P10="","",P10-I10)</f>
        <v/>
      </c>
      <c r="R10" s="16" t="n"/>
      <c r="S10" s="16" t="n"/>
      <c r="T10" s="17">
        <f>IF(D10="","",IFERROR(INDEX('费用归属表（快照）'!$C$4:$C$16,MATCH(D10,'费用归属表（快照）'!$A$4:$A$16,0)),""))</f>
        <v/>
      </c>
      <c r="U10" s="17">
        <f>IF(D10="","",IF(AND(D10="销售出库费用",B10="深圳星期九"),"永续供应中心 0010401",IF(AND(D10="原料入库费用",E10="小料"),"茶饮小料部 0030902",IFERROR(INDEX('费用归属表（快照）'!$D$4:$D$16,MATCH(D10,'费用归属表（快照）'!$A$4:$A$16,0)),""))))</f>
        <v/>
      </c>
      <c r="V10" s="17">
        <f>IF(D10="","",IFERROR(INDEX('费用归属表（快照）'!$B$4:$B$16,MATCH(D10,'费用归属表（快照）'!$A$4:$A$16,0)),""))</f>
        <v/>
      </c>
      <c r="W10" s="18">
        <f>IF(OR(E10="",AND(LEFT(T10,4)&lt;&gt;"6601",LEFT(T10,4)&lt;&gt;"6401")),"",IFERROR(IF(INDEX(选项!$I$2:$I$11,MATCH(E10,选项!$H$2:$H$11,0))="","",INDEX(选项!$I$2:$I$11,MATCH(E10,选项!$H$2:$H$11,0))),""))</f>
        <v/>
      </c>
      <c r="X10" s="18">
        <f>IF(OR(E10="",AND(LEFT(T10,4)&lt;&gt;"6601",LEFT(T10,4)&lt;&gt;"6401")),"",IFERROR(IF(INDEX(选项!$J$2:$J$11,MATCH(E10,选项!$H$2:$H$11,0))="","",INDEX(选项!$J$2:$J$11,MATCH(E10,选项!$H$2:$H$11,0))),""))</f>
        <v/>
      </c>
    </row>
    <row r="11">
      <c r="A11" s="8" t="inlineStr">
        <is>
          <t>2026-07</t>
        </is>
      </c>
      <c r="B11" s="9" t="inlineStr">
        <is>
          <t>深圳星期零</t>
        </is>
      </c>
      <c r="C11" s="9" t="inlineStr">
        <is>
          <t>顺丰速运</t>
        </is>
      </c>
      <c r="D11" s="9" t="inlineStr">
        <is>
          <t>销售出库费用</t>
        </is>
      </c>
      <c r="E11" s="9" t="inlineStr">
        <is>
          <t>小料</t>
        </is>
      </c>
      <c r="F11" s="9" t="inlineStr"/>
      <c r="G11" s="9" t="inlineStr">
        <is>
          <t>月结</t>
        </is>
      </c>
      <c r="H11" s="9" t="inlineStr"/>
      <c r="I11" s="10" t="n">
        <v>612</v>
      </c>
      <c r="J11" s="11">
        <f>IFERROR(INDEX(供应商列表!$F$4:$R$25,MATCH(C11,供应商列表!$A$4:$A$25,0),MATCH(D11,供应商列表!$F$3:$R$3,0)),"")</f>
        <v/>
      </c>
      <c r="K11" s="12">
        <f>IFERROR(ROUND(I11/(1+J11),2),"")</f>
        <v/>
      </c>
      <c r="L11" s="12">
        <f>IFERROR(I11-K11,"")</f>
        <v/>
      </c>
      <c r="M11" s="8">
        <f>IFERROR(INDEX(供应商列表!$B$4:$B$25,MATCH(C11,供应商列表!$A$4:$A$25,0)),"")</f>
        <v/>
      </c>
      <c r="N11" s="13">
        <f>"计提"&amp;M11&amp;(MID(A11,6,2)*1)&amp;"月"&amp;IFERROR(INDEX(供应商列表!$E$4:$E$25,MATCH(C11,供应商列表!$A$4:$A$25,0)),"线下")&amp;IF(F11&lt;&gt;"",F11,IF(OR(E11="—",E11=""),"",E11))&amp;IFERROR(INDEX('费用归属表（快照）'!$F$4:$F$16,MATCH(D11,'费用归属表（快照）'!$A$4:$A$16,0)),"")</f>
        <v/>
      </c>
      <c r="O11" s="14" t="n"/>
      <c r="P11" s="15" t="n"/>
      <c r="Q11" s="12">
        <f>IF(P11="","",P11-I11)</f>
        <v/>
      </c>
      <c r="R11" s="16" t="n"/>
      <c r="S11" s="16" t="n"/>
      <c r="T11" s="17">
        <f>IF(D11="","",IFERROR(INDEX('费用归属表（快照）'!$C$4:$C$16,MATCH(D11,'费用归属表（快照）'!$A$4:$A$16,0)),""))</f>
        <v/>
      </c>
      <c r="U11" s="17">
        <f>IF(D11="","",IF(AND(D11="销售出库费用",B11="深圳星期九"),"永续供应中心 0010401",IF(AND(D11="原料入库费用",E11="小料"),"茶饮小料部 0030902",IFERROR(INDEX('费用归属表（快照）'!$D$4:$D$16,MATCH(D11,'费用归属表（快照）'!$A$4:$A$16,0)),""))))</f>
        <v/>
      </c>
      <c r="V11" s="17">
        <f>IF(D11="","",IFERROR(INDEX('费用归属表（快照）'!$B$4:$B$16,MATCH(D11,'费用归属表（快照）'!$A$4:$A$16,0)),""))</f>
        <v/>
      </c>
      <c r="W11" s="18">
        <f>IF(OR(E11="",AND(LEFT(T11,4)&lt;&gt;"6601",LEFT(T11,4)&lt;&gt;"6401")),"",IFERROR(IF(INDEX(选项!$I$2:$I$11,MATCH(E11,选项!$H$2:$H$11,0))="","",INDEX(选项!$I$2:$I$11,MATCH(E11,选项!$H$2:$H$11,0))),""))</f>
        <v/>
      </c>
      <c r="X11" s="18">
        <f>IF(OR(E11="",AND(LEFT(T11,4)&lt;&gt;"6601",LEFT(T11,4)&lt;&gt;"6401")),"",IFERROR(IF(INDEX(选项!$J$2:$J$11,MATCH(E11,选项!$H$2:$H$11,0))="","",INDEX(选项!$J$2:$J$11,MATCH(E11,选项!$H$2:$H$11,0))),""))</f>
        <v/>
      </c>
    </row>
    <row r="12">
      <c r="A12" s="8" t="inlineStr">
        <is>
          <t>2026-07</t>
        </is>
      </c>
      <c r="B12" s="9" t="inlineStr">
        <is>
          <t>深圳星期零</t>
        </is>
      </c>
      <c r="C12" s="9" t="inlineStr">
        <is>
          <t>跨越物流</t>
        </is>
      </c>
      <c r="D12" s="9" t="inlineStr">
        <is>
          <t>销售出库费用</t>
        </is>
      </c>
      <c r="E12" s="9" t="inlineStr">
        <is>
          <t>植物肉</t>
        </is>
      </c>
      <c r="F12" s="9" t="inlineStr"/>
      <c r="G12" s="9" t="inlineStr">
        <is>
          <t>月结</t>
        </is>
      </c>
      <c r="H12" s="9" t="inlineStr"/>
      <c r="I12" s="10" t="n">
        <v>1199.55</v>
      </c>
      <c r="J12" s="11">
        <f>IFERROR(INDEX(供应商列表!$F$4:$R$25,MATCH(C12,供应商列表!$A$4:$A$25,0),MATCH(D12,供应商列表!$F$3:$R$3,0)),"")</f>
        <v/>
      </c>
      <c r="K12" s="12">
        <f>IFERROR(ROUND(I12/(1+J12),2),"")</f>
        <v/>
      </c>
      <c r="L12" s="12">
        <f>IFERROR(I12-K12,"")</f>
        <v/>
      </c>
      <c r="M12" s="8">
        <f>IFERROR(INDEX(供应商列表!$B$4:$B$25,MATCH(C12,供应商列表!$A$4:$A$25,0)),"")</f>
        <v/>
      </c>
      <c r="N12" s="13">
        <f>"计提"&amp;M12&amp;(MID(A12,6,2)*1)&amp;"月"&amp;IFERROR(INDEX(供应商列表!$E$4:$E$25,MATCH(C12,供应商列表!$A$4:$A$25,0)),"线下")&amp;IF(F12&lt;&gt;"",F12,IF(OR(E12="—",E12=""),"",E12))&amp;IFERROR(INDEX('费用归属表（快照）'!$F$4:$F$16,MATCH(D12,'费用归属表（快照）'!$A$4:$A$16,0)),"")</f>
        <v/>
      </c>
      <c r="O12" s="14" t="n"/>
      <c r="P12" s="15" t="n"/>
      <c r="Q12" s="12">
        <f>IF(P12="","",P12-I12)</f>
        <v/>
      </c>
      <c r="R12" s="16" t="n"/>
      <c r="S12" s="16" t="n"/>
      <c r="T12" s="17">
        <f>IF(D12="","",IFERROR(INDEX('费用归属表（快照）'!$C$4:$C$16,MATCH(D12,'费用归属表（快照）'!$A$4:$A$16,0)),""))</f>
        <v/>
      </c>
      <c r="U12" s="17">
        <f>IF(D12="","",IF(AND(D12="销售出库费用",B12="深圳星期九"),"永续供应中心 0010401",IF(AND(D12="原料入库费用",E12="小料"),"茶饮小料部 0030902",IFERROR(INDEX('费用归属表（快照）'!$D$4:$D$16,MATCH(D12,'费用归属表（快照）'!$A$4:$A$16,0)),""))))</f>
        <v/>
      </c>
      <c r="V12" s="17">
        <f>IF(D12="","",IFERROR(INDEX('费用归属表（快照）'!$B$4:$B$16,MATCH(D12,'费用归属表（快照）'!$A$4:$A$16,0)),""))</f>
        <v/>
      </c>
      <c r="W12" s="18">
        <f>IF(OR(E12="",AND(LEFT(T12,4)&lt;&gt;"6601",LEFT(T12,4)&lt;&gt;"6401")),"",IFERROR(IF(INDEX(选项!$I$2:$I$11,MATCH(E12,选项!$H$2:$H$11,0))="","",INDEX(选项!$I$2:$I$11,MATCH(E12,选项!$H$2:$H$11,0))),""))</f>
        <v/>
      </c>
      <c r="X12" s="18">
        <f>IF(OR(E12="",AND(LEFT(T12,4)&lt;&gt;"6601",LEFT(T12,4)&lt;&gt;"6401")),"",IFERROR(IF(INDEX(选项!$J$2:$J$11,MATCH(E12,选项!$H$2:$H$11,0))="","",INDEX(选项!$J$2:$J$11,MATCH(E12,选项!$H$2:$H$11,0))),""))</f>
        <v/>
      </c>
    </row>
    <row r="13">
      <c r="A13" s="8" t="inlineStr">
        <is>
          <t>2026-07</t>
        </is>
      </c>
      <c r="B13" s="9" t="inlineStr">
        <is>
          <t>深圳星期零</t>
        </is>
      </c>
      <c r="C13" s="9" t="inlineStr">
        <is>
          <t>跨越物流</t>
        </is>
      </c>
      <c r="D13" s="9" t="inlineStr">
        <is>
          <t>销售出库费用</t>
        </is>
      </c>
      <c r="E13" s="9" t="inlineStr">
        <is>
          <t>零售</t>
        </is>
      </c>
      <c r="F13" s="9" t="inlineStr"/>
      <c r="G13" s="9" t="inlineStr">
        <is>
          <t>月结</t>
        </is>
      </c>
      <c r="H13" s="9" t="inlineStr"/>
      <c r="I13" s="10" t="n">
        <v>195.55</v>
      </c>
      <c r="J13" s="11">
        <f>IFERROR(INDEX(供应商列表!$F$4:$R$25,MATCH(C13,供应商列表!$A$4:$A$25,0),MATCH(D13,供应商列表!$F$3:$R$3,0)),"")</f>
        <v/>
      </c>
      <c r="K13" s="12">
        <f>IFERROR(ROUND(I13/(1+J13),2),"")</f>
        <v/>
      </c>
      <c r="L13" s="12">
        <f>IFERROR(I13-K13,"")</f>
        <v/>
      </c>
      <c r="M13" s="8">
        <f>IFERROR(INDEX(供应商列表!$B$4:$B$25,MATCH(C13,供应商列表!$A$4:$A$25,0)),"")</f>
        <v/>
      </c>
      <c r="N13" s="13">
        <f>"计提"&amp;M13&amp;(MID(A13,6,2)*1)&amp;"月"&amp;IFERROR(INDEX(供应商列表!$E$4:$E$25,MATCH(C13,供应商列表!$A$4:$A$25,0)),"线下")&amp;IF(F13&lt;&gt;"",F13,IF(OR(E13="—",E13=""),"",E13))&amp;IFERROR(INDEX('费用归属表（快照）'!$F$4:$F$16,MATCH(D13,'费用归属表（快照）'!$A$4:$A$16,0)),"")</f>
        <v/>
      </c>
      <c r="O13" s="14" t="n"/>
      <c r="P13" s="15" t="n"/>
      <c r="Q13" s="12">
        <f>IF(P13="","",P13-I13)</f>
        <v/>
      </c>
      <c r="R13" s="16" t="n"/>
      <c r="S13" s="16" t="n"/>
      <c r="T13" s="17">
        <f>IF(D13="","",IFERROR(INDEX('费用归属表（快照）'!$C$4:$C$16,MATCH(D13,'费用归属表（快照）'!$A$4:$A$16,0)),""))</f>
        <v/>
      </c>
      <c r="U13" s="17">
        <f>IF(D13="","",IF(AND(D13="销售出库费用",B13="深圳星期九"),"永续供应中心 0010401",IF(AND(D13="原料入库费用",E13="小料"),"茶饮小料部 0030902",IFERROR(INDEX('费用归属表（快照）'!$D$4:$D$16,MATCH(D13,'费用归属表（快照）'!$A$4:$A$16,0)),""))))</f>
        <v/>
      </c>
      <c r="V13" s="17">
        <f>IF(D13="","",IFERROR(INDEX('费用归属表（快照）'!$B$4:$B$16,MATCH(D13,'费用归属表（快照）'!$A$4:$A$16,0)),""))</f>
        <v/>
      </c>
      <c r="W13" s="18">
        <f>IF(OR(E13="",AND(LEFT(T13,4)&lt;&gt;"6601",LEFT(T13,4)&lt;&gt;"6401")),"",IFERROR(IF(INDEX(选项!$I$2:$I$11,MATCH(E13,选项!$H$2:$H$11,0))="","",INDEX(选项!$I$2:$I$11,MATCH(E13,选项!$H$2:$H$11,0))),""))</f>
        <v/>
      </c>
      <c r="X13" s="18">
        <f>IF(OR(E13="",AND(LEFT(T13,4)&lt;&gt;"6601",LEFT(T13,4)&lt;&gt;"6401")),"",IFERROR(IF(INDEX(选项!$J$2:$J$11,MATCH(E13,选项!$H$2:$H$11,0))="","",INDEX(选项!$J$2:$J$11,MATCH(E13,选项!$H$2:$H$11,0))),""))</f>
        <v/>
      </c>
    </row>
    <row r="14">
      <c r="A14" s="8" t="inlineStr">
        <is>
          <t>2026-07</t>
        </is>
      </c>
      <c r="B14" s="9" t="inlineStr">
        <is>
          <t>深圳星期零</t>
        </is>
      </c>
      <c r="C14" s="9" t="inlineStr">
        <is>
          <t>跨越物流</t>
        </is>
      </c>
      <c r="D14" s="9" t="inlineStr">
        <is>
          <t>销售出库费用</t>
        </is>
      </c>
      <c r="E14" s="9" t="inlineStr">
        <is>
          <t>小料</t>
        </is>
      </c>
      <c r="F14" s="9" t="inlineStr"/>
      <c r="G14" s="9" t="inlineStr">
        <is>
          <t>月结</t>
        </is>
      </c>
      <c r="H14" s="9" t="inlineStr"/>
      <c r="I14" s="10" t="n">
        <v>421.56</v>
      </c>
      <c r="J14" s="11">
        <f>IFERROR(INDEX(供应商列表!$F$4:$R$25,MATCH(C14,供应商列表!$A$4:$A$25,0),MATCH(D14,供应商列表!$F$3:$R$3,0)),"")</f>
        <v/>
      </c>
      <c r="K14" s="12">
        <f>IFERROR(ROUND(I14/(1+J14),2),"")</f>
        <v/>
      </c>
      <c r="L14" s="12">
        <f>IFERROR(I14-K14,"")</f>
        <v/>
      </c>
      <c r="M14" s="8">
        <f>IFERROR(INDEX(供应商列表!$B$4:$B$25,MATCH(C14,供应商列表!$A$4:$A$25,0)),"")</f>
        <v/>
      </c>
      <c r="N14" s="13">
        <f>"计提"&amp;M14&amp;(MID(A14,6,2)*1)&amp;"月"&amp;IFERROR(INDEX(供应商列表!$E$4:$E$25,MATCH(C14,供应商列表!$A$4:$A$25,0)),"线下")&amp;IF(F14&lt;&gt;"",F14,IF(OR(E14="—",E14=""),"",E14))&amp;IFERROR(INDEX('费用归属表（快照）'!$F$4:$F$16,MATCH(D14,'费用归属表（快照）'!$A$4:$A$16,0)),"")</f>
        <v/>
      </c>
      <c r="O14" s="14" t="n"/>
      <c r="P14" s="15" t="n"/>
      <c r="Q14" s="12">
        <f>IF(P14="","",P14-I14)</f>
        <v/>
      </c>
      <c r="R14" s="16" t="n"/>
      <c r="S14" s="16" t="n"/>
      <c r="T14" s="17">
        <f>IF(D14="","",IFERROR(INDEX('费用归属表（快照）'!$C$4:$C$16,MATCH(D14,'费用归属表（快照）'!$A$4:$A$16,0)),""))</f>
        <v/>
      </c>
      <c r="U14" s="17">
        <f>IF(D14="","",IF(AND(D14="销售出库费用",B14="深圳星期九"),"永续供应中心 0010401",IF(AND(D14="原料入库费用",E14="小料"),"茶饮小料部 0030902",IFERROR(INDEX('费用归属表（快照）'!$D$4:$D$16,MATCH(D14,'费用归属表（快照）'!$A$4:$A$16,0)),""))))</f>
        <v/>
      </c>
      <c r="V14" s="17">
        <f>IF(D14="","",IFERROR(INDEX('费用归属表（快照）'!$B$4:$B$16,MATCH(D14,'费用归属表（快照）'!$A$4:$A$16,0)),""))</f>
        <v/>
      </c>
      <c r="W14" s="18">
        <f>IF(OR(E14="",AND(LEFT(T14,4)&lt;&gt;"6601",LEFT(T14,4)&lt;&gt;"6401")),"",IFERROR(IF(INDEX(选项!$I$2:$I$11,MATCH(E14,选项!$H$2:$H$11,0))="","",INDEX(选项!$I$2:$I$11,MATCH(E14,选项!$H$2:$H$11,0))),""))</f>
        <v/>
      </c>
      <c r="X14" s="18">
        <f>IF(OR(E14="",AND(LEFT(T14,4)&lt;&gt;"6601",LEFT(T14,4)&lt;&gt;"6401")),"",IFERROR(IF(INDEX(选项!$J$2:$J$11,MATCH(E14,选项!$H$2:$H$11,0))="","",INDEX(选项!$J$2:$J$11,MATCH(E14,选项!$H$2:$H$11,0))),""))</f>
        <v/>
      </c>
    </row>
    <row r="15">
      <c r="A15" s="8" t="inlineStr">
        <is>
          <t>2026-07</t>
        </is>
      </c>
      <c r="B15" s="9" t="inlineStr">
        <is>
          <t>深圳星期零</t>
        </is>
      </c>
      <c r="C15" s="9" t="inlineStr">
        <is>
          <t>跨越物流</t>
        </is>
      </c>
      <c r="D15" s="9" t="inlineStr">
        <is>
          <t>研发设备采购</t>
        </is>
      </c>
      <c r="E15" s="9" t="inlineStr">
        <is>
          <t>—</t>
        </is>
      </c>
      <c r="F15" s="9" t="inlineStr"/>
      <c r="G15" s="9" t="inlineStr">
        <is>
          <t>月结</t>
        </is>
      </c>
      <c r="H15" s="9" t="inlineStr"/>
      <c r="I15" s="10" t="n">
        <v>329.4</v>
      </c>
      <c r="J15" s="11">
        <f>IFERROR(INDEX(供应商列表!$F$4:$R$25,MATCH(C15,供应商列表!$A$4:$A$25,0),MATCH(D15,供应商列表!$F$3:$R$3,0)),"")</f>
        <v/>
      </c>
      <c r="K15" s="12">
        <f>IFERROR(ROUND(I15/(1+J15),2),"")</f>
        <v/>
      </c>
      <c r="L15" s="12">
        <f>IFERROR(I15-K15,"")</f>
        <v/>
      </c>
      <c r="M15" s="8">
        <f>IFERROR(INDEX(供应商列表!$B$4:$B$25,MATCH(C15,供应商列表!$A$4:$A$25,0)),"")</f>
        <v/>
      </c>
      <c r="N15" s="13">
        <f>"计提"&amp;M15&amp;(MID(A15,6,2)*1)&amp;"月"&amp;IFERROR(INDEX(供应商列表!$E$4:$E$25,MATCH(C15,供应商列表!$A$4:$A$25,0)),"线下")&amp;IF(F15&lt;&gt;"",F15,IF(OR(E15="—",E15=""),"",E15))&amp;IFERROR(INDEX('费用归属表（快照）'!$F$4:$F$16,MATCH(D15,'费用归属表（快照）'!$A$4:$A$16,0)),"")</f>
        <v/>
      </c>
      <c r="O15" s="14" t="n"/>
      <c r="P15" s="15" t="n"/>
      <c r="Q15" s="12">
        <f>IF(P15="","",P15-I15)</f>
        <v/>
      </c>
      <c r="R15" s="16" t="n"/>
      <c r="S15" s="16" t="n"/>
      <c r="T15" s="17">
        <f>IF(D15="","",IFERROR(INDEX('费用归属表（快照）'!$C$4:$C$16,MATCH(D15,'费用归属表（快照）'!$A$4:$A$16,0)),""))</f>
        <v/>
      </c>
      <c r="U15" s="17">
        <f>IF(D15="","",IF(AND(D15="销售出库费用",B15="深圳星期九"),"永续供应中心 0010401",IF(AND(D15="原料入库费用",E15="小料"),"茶饮小料部 0030902",IFERROR(INDEX('费用归属表（快照）'!$D$4:$D$16,MATCH(D15,'费用归属表（快照）'!$A$4:$A$16,0)),""))))</f>
        <v/>
      </c>
      <c r="V15" s="17">
        <f>IF(D15="","",IFERROR(INDEX('费用归属表（快照）'!$B$4:$B$16,MATCH(D15,'费用归属表（快照）'!$A$4:$A$16,0)),""))</f>
        <v/>
      </c>
      <c r="W15" s="18">
        <f>IF(OR(E15="",AND(LEFT(T15,4)&lt;&gt;"6601",LEFT(T15,4)&lt;&gt;"6401")),"",IFERROR(IF(INDEX(选项!$I$2:$I$11,MATCH(E15,选项!$H$2:$H$11,0))="","",INDEX(选项!$I$2:$I$11,MATCH(E15,选项!$H$2:$H$11,0))),""))</f>
        <v/>
      </c>
      <c r="X15" s="18">
        <f>IF(OR(E15="",AND(LEFT(T15,4)&lt;&gt;"6601",LEFT(T15,4)&lt;&gt;"6401")),"",IFERROR(IF(INDEX(选项!$J$2:$J$11,MATCH(E15,选项!$H$2:$H$11,0))="","",INDEX(选项!$J$2:$J$11,MATCH(E15,选项!$H$2:$H$11,0))),""))</f>
        <v/>
      </c>
    </row>
    <row r="16">
      <c r="A16" s="8" t="inlineStr">
        <is>
          <t>2026-07</t>
        </is>
      </c>
      <c r="B16" s="9" t="inlineStr">
        <is>
          <t>深圳星期零</t>
        </is>
      </c>
      <c r="C16" s="9" t="inlineStr">
        <is>
          <t>跨越物流</t>
        </is>
      </c>
      <c r="D16" s="9" t="inlineStr">
        <is>
          <t>原料入库费用</t>
        </is>
      </c>
      <c r="E16" s="9" t="inlineStr">
        <is>
          <t>—</t>
        </is>
      </c>
      <c r="F16" s="9" t="inlineStr">
        <is>
          <t>孝感工厂</t>
        </is>
      </c>
      <c r="G16" s="9" t="inlineStr">
        <is>
          <t>月结</t>
        </is>
      </c>
      <c r="H16" s="9" t="inlineStr"/>
      <c r="I16" s="10" t="n">
        <v>991.84</v>
      </c>
      <c r="J16" s="11">
        <f>IFERROR(INDEX(供应商列表!$F$4:$R$25,MATCH(C16,供应商列表!$A$4:$A$25,0),MATCH(D16,供应商列表!$F$3:$R$3,0)),"")</f>
        <v/>
      </c>
      <c r="K16" s="12">
        <f>IFERROR(ROUND(I16/(1+J16),2),"")</f>
        <v/>
      </c>
      <c r="L16" s="12">
        <f>IFERROR(I16-K16,"")</f>
        <v/>
      </c>
      <c r="M16" s="8">
        <f>IFERROR(INDEX(供应商列表!$B$4:$B$25,MATCH(C16,供应商列表!$A$4:$A$25,0)),"")</f>
        <v/>
      </c>
      <c r="N16" s="13">
        <f>"计提"&amp;M16&amp;(MID(A16,6,2)*1)&amp;"月"&amp;IFERROR(INDEX(供应商列表!$E$4:$E$25,MATCH(C16,供应商列表!$A$4:$A$25,0)),"线下")&amp;IF(F16&lt;&gt;"",F16,IF(OR(E16="—",E16=""),"",E16))&amp;IFERROR(INDEX('费用归属表（快照）'!$F$4:$F$16,MATCH(D16,'费用归属表（快照）'!$A$4:$A$16,0)),"")</f>
        <v/>
      </c>
      <c r="O16" s="14" t="n"/>
      <c r="P16" s="15" t="n"/>
      <c r="Q16" s="12">
        <f>IF(P16="","",P16-I16)</f>
        <v/>
      </c>
      <c r="R16" s="16" t="n"/>
      <c r="S16" s="16" t="n"/>
      <c r="T16" s="17">
        <f>IF(D16="","",IFERROR(INDEX('费用归属表（快照）'!$C$4:$C$16,MATCH(D16,'费用归属表（快照）'!$A$4:$A$16,0)),""))</f>
        <v/>
      </c>
      <c r="U16" s="17">
        <f>IF(D16="","",IF(AND(D16="销售出库费用",B16="深圳星期九"),"永续供应中心 0010401",IF(AND(D16="原料入库费用",E16="小料"),"茶饮小料部 0030902",IFERROR(INDEX('费用归属表（快照）'!$D$4:$D$16,MATCH(D16,'费用归属表（快照）'!$A$4:$A$16,0)),""))))</f>
        <v/>
      </c>
      <c r="V16" s="17">
        <f>IF(D16="","",IFERROR(INDEX('费用归属表（快照）'!$B$4:$B$16,MATCH(D16,'费用归属表（快照）'!$A$4:$A$16,0)),""))</f>
        <v/>
      </c>
      <c r="W16" s="18">
        <f>IF(OR(E16="",AND(LEFT(T16,4)&lt;&gt;"6601",LEFT(T16,4)&lt;&gt;"6401")),"",IFERROR(IF(INDEX(选项!$I$2:$I$11,MATCH(E16,选项!$H$2:$H$11,0))="","",INDEX(选项!$I$2:$I$11,MATCH(E16,选项!$H$2:$H$11,0))),""))</f>
        <v/>
      </c>
      <c r="X16" s="18">
        <f>IF(OR(E16="",AND(LEFT(T16,4)&lt;&gt;"6601",LEFT(T16,4)&lt;&gt;"6401")),"",IFERROR(IF(INDEX(选项!$J$2:$J$11,MATCH(E16,选项!$H$2:$H$11,0))="","",INDEX(选项!$J$2:$J$11,MATCH(E16,选项!$H$2:$H$11,0))),""))</f>
        <v/>
      </c>
    </row>
    <row r="17">
      <c r="A17" s="8" t="inlineStr">
        <is>
          <t>2026-07</t>
        </is>
      </c>
      <c r="B17" s="9" t="inlineStr">
        <is>
          <t>深圳星期零</t>
        </is>
      </c>
      <c r="C17" s="9" t="inlineStr">
        <is>
          <t>跨越物流</t>
        </is>
      </c>
      <c r="D17" s="9" t="inlineStr">
        <is>
          <t>设备调拨费用</t>
        </is>
      </c>
      <c r="E17" s="9" t="inlineStr">
        <is>
          <t>—</t>
        </is>
      </c>
      <c r="F17" s="9" t="inlineStr"/>
      <c r="G17" s="9" t="inlineStr">
        <is>
          <t>月结</t>
        </is>
      </c>
      <c r="H17" s="9" t="inlineStr"/>
      <c r="I17" s="10" t="n">
        <v>1509.53</v>
      </c>
      <c r="J17" s="11">
        <f>IFERROR(INDEX(供应商列表!$F$4:$R$25,MATCH(C17,供应商列表!$A$4:$A$25,0),MATCH(D17,供应商列表!$F$3:$R$3,0)),"")</f>
        <v/>
      </c>
      <c r="K17" s="12">
        <f>IFERROR(ROUND(I17/(1+J17),2),"")</f>
        <v/>
      </c>
      <c r="L17" s="12">
        <f>IFERROR(I17-K17,"")</f>
        <v/>
      </c>
      <c r="M17" s="8">
        <f>IFERROR(INDEX(供应商列表!$B$4:$B$25,MATCH(C17,供应商列表!$A$4:$A$25,0)),"")</f>
        <v/>
      </c>
      <c r="N17" s="13">
        <f>"计提"&amp;M17&amp;(MID(A17,6,2)*1)&amp;"月"&amp;IFERROR(INDEX(供应商列表!$E$4:$E$25,MATCH(C17,供应商列表!$A$4:$A$25,0)),"线下")&amp;IF(F17&lt;&gt;"",F17,IF(OR(E17="—",E17=""),"",E17))&amp;IFERROR(INDEX('费用归属表（快照）'!$F$4:$F$16,MATCH(D17,'费用归属表（快照）'!$A$4:$A$16,0)),"")</f>
        <v/>
      </c>
      <c r="O17" s="14" t="n"/>
      <c r="P17" s="15" t="n"/>
      <c r="Q17" s="12">
        <f>IF(P17="","",P17-I17)</f>
        <v/>
      </c>
      <c r="R17" s="16" t="n"/>
      <c r="S17" s="16" t="n"/>
      <c r="T17" s="17">
        <f>IF(D17="","",IFERROR(INDEX('费用归属表（快照）'!$C$4:$C$16,MATCH(D17,'费用归属表（快照）'!$A$4:$A$16,0)),""))</f>
        <v/>
      </c>
      <c r="U17" s="17">
        <f>IF(D17="","",IF(AND(D17="销售出库费用",B17="深圳星期九"),"永续供应中心 0010401",IF(AND(D17="原料入库费用",E17="小料"),"茶饮小料部 0030902",IFERROR(INDEX('费用归属表（快照）'!$D$4:$D$16,MATCH(D17,'费用归属表（快照）'!$A$4:$A$16,0)),""))))</f>
        <v/>
      </c>
      <c r="V17" s="17">
        <f>IF(D17="","",IFERROR(INDEX('费用归属表（快照）'!$B$4:$B$16,MATCH(D17,'费用归属表（快照）'!$A$4:$A$16,0)),""))</f>
        <v/>
      </c>
      <c r="W17" s="18">
        <f>IF(OR(E17="",AND(LEFT(T17,4)&lt;&gt;"6601",LEFT(T17,4)&lt;&gt;"6401")),"",IFERROR(IF(INDEX(选项!$I$2:$I$11,MATCH(E17,选项!$H$2:$H$11,0))="","",INDEX(选项!$I$2:$I$11,MATCH(E17,选项!$H$2:$H$11,0))),""))</f>
        <v/>
      </c>
      <c r="X17" s="18">
        <f>IF(OR(E17="",AND(LEFT(T17,4)&lt;&gt;"6601",LEFT(T17,4)&lt;&gt;"6401")),"",IFERROR(IF(INDEX(选项!$J$2:$J$11,MATCH(E17,选项!$H$2:$H$11,0))="","",INDEX(选项!$J$2:$J$11,MATCH(E17,选项!$H$2:$H$11,0))),""))</f>
        <v/>
      </c>
    </row>
    <row r="18">
      <c r="A18" s="8" t="inlineStr">
        <is>
          <t>2026-07</t>
        </is>
      </c>
      <c r="B18" s="9" t="inlineStr">
        <is>
          <t>深圳星期零</t>
        </is>
      </c>
      <c r="C18" s="9" t="inlineStr">
        <is>
          <t>跨越物流</t>
        </is>
      </c>
      <c r="D18" s="9" t="inlineStr">
        <is>
          <t>销售出库费用</t>
        </is>
      </c>
      <c r="E18" s="9" t="inlineStr">
        <is>
          <t>小料</t>
        </is>
      </c>
      <c r="F18" s="9" t="inlineStr"/>
      <c r="G18" s="9" t="inlineStr">
        <is>
          <t>月结</t>
        </is>
      </c>
      <c r="H18" s="9" t="inlineStr"/>
      <c r="I18" s="10" t="n">
        <v>486.8</v>
      </c>
      <c r="J18" s="11">
        <f>IFERROR(INDEX(供应商列表!$F$4:$R$25,MATCH(C18,供应商列表!$A$4:$A$25,0),MATCH(D18,供应商列表!$F$3:$R$3,0)),"")</f>
        <v/>
      </c>
      <c r="K18" s="12">
        <f>IFERROR(ROUND(I18/(1+J18),2),"")</f>
        <v/>
      </c>
      <c r="L18" s="12">
        <f>IFERROR(I18-K18,"")</f>
        <v/>
      </c>
      <c r="M18" s="8">
        <f>IFERROR(INDEX(供应商列表!$B$4:$B$25,MATCH(C18,供应商列表!$A$4:$A$25,0)),"")</f>
        <v/>
      </c>
      <c r="N18" s="13">
        <f>"计提"&amp;M18&amp;(MID(A18,6,2)*1)&amp;"月"&amp;IFERROR(INDEX(供应商列表!$E$4:$E$25,MATCH(C18,供应商列表!$A$4:$A$25,0)),"线下")&amp;IF(F18&lt;&gt;"",F18,IF(OR(E18="—",E18=""),"",E18))&amp;IFERROR(INDEX('费用归属表（快照）'!$F$4:$F$16,MATCH(D18,'费用归属表（快照）'!$A$4:$A$16,0)),"")</f>
        <v/>
      </c>
      <c r="O18" s="14" t="n"/>
      <c r="P18" s="15" t="n"/>
      <c r="Q18" s="12">
        <f>IF(P18="","",P18-I18)</f>
        <v/>
      </c>
      <c r="R18" s="16" t="n"/>
      <c r="S18" s="16" t="n"/>
      <c r="T18" s="17">
        <f>IF(D18="","",IFERROR(INDEX('费用归属表（快照）'!$C$4:$C$16,MATCH(D18,'费用归属表（快照）'!$A$4:$A$16,0)),""))</f>
        <v/>
      </c>
      <c r="U18" s="17">
        <f>IF(D18="","",IF(AND(D18="销售出库费用",B18="深圳星期九"),"永续供应中心 0010401",IF(AND(D18="原料入库费用",E18="小料"),"茶饮小料部 0030902",IFERROR(INDEX('费用归属表（快照）'!$D$4:$D$16,MATCH(D18,'费用归属表（快照）'!$A$4:$A$16,0)),""))))</f>
        <v/>
      </c>
      <c r="V18" s="17">
        <f>IF(D18="","",IFERROR(INDEX('费用归属表（快照）'!$B$4:$B$16,MATCH(D18,'费用归属表（快照）'!$A$4:$A$16,0)),""))</f>
        <v/>
      </c>
      <c r="W18" s="18">
        <f>IF(OR(E18="",AND(LEFT(T18,4)&lt;&gt;"6601",LEFT(T18,4)&lt;&gt;"6401")),"",IFERROR(IF(INDEX(选项!$I$2:$I$11,MATCH(E18,选项!$H$2:$H$11,0))="","",INDEX(选项!$I$2:$I$11,MATCH(E18,选项!$H$2:$H$11,0))),""))</f>
        <v/>
      </c>
      <c r="X18" s="18">
        <f>IF(OR(E18="",AND(LEFT(T18,4)&lt;&gt;"6601",LEFT(T18,4)&lt;&gt;"6401")),"",IFERROR(IF(INDEX(选项!$J$2:$J$11,MATCH(E18,选项!$H$2:$H$11,0))="","",INDEX(选项!$J$2:$J$11,MATCH(E18,选项!$H$2:$H$11,0))),""))</f>
        <v/>
      </c>
    </row>
    <row r="19">
      <c r="A19" s="8" t="inlineStr">
        <is>
          <t>2026-07</t>
        </is>
      </c>
      <c r="B19" s="9" t="inlineStr">
        <is>
          <t>深圳星期零</t>
        </is>
      </c>
      <c r="C19" s="9" t="inlineStr">
        <is>
          <t>易风达</t>
        </is>
      </c>
      <c r="D19" s="9" t="inlineStr">
        <is>
          <t>销售出库费用</t>
        </is>
      </c>
      <c r="E19" s="9" t="inlineStr">
        <is>
          <t>小料</t>
        </is>
      </c>
      <c r="F19" s="9" t="inlineStr"/>
      <c r="G19" s="9" t="inlineStr">
        <is>
          <t>月结</t>
        </is>
      </c>
      <c r="H19" s="9" t="inlineStr"/>
      <c r="I19" s="10" t="n">
        <v>400</v>
      </c>
      <c r="J19" s="11">
        <f>IFERROR(INDEX(供应商列表!$F$4:$R$25,MATCH(C19,供应商列表!$A$4:$A$25,0),MATCH(D19,供应商列表!$F$3:$R$3,0)),"")</f>
        <v/>
      </c>
      <c r="K19" s="12">
        <f>IFERROR(ROUND(I19/(1+J19),2),"")</f>
        <v/>
      </c>
      <c r="L19" s="12">
        <f>IFERROR(I19-K19,"")</f>
        <v/>
      </c>
      <c r="M19" s="8">
        <f>IFERROR(INDEX(供应商列表!$B$4:$B$25,MATCH(C19,供应商列表!$A$4:$A$25,0)),"")</f>
        <v/>
      </c>
      <c r="N19" s="13">
        <f>"计提"&amp;M19&amp;(MID(A19,6,2)*1)&amp;"月"&amp;IFERROR(INDEX(供应商列表!$E$4:$E$25,MATCH(C19,供应商列表!$A$4:$A$25,0)),"线下")&amp;IF(F19&lt;&gt;"",F19,IF(OR(E19="—",E19=""),"",E19))&amp;IFERROR(INDEX('费用归属表（快照）'!$F$4:$F$16,MATCH(D19,'费用归属表（快照）'!$A$4:$A$16,0)),"")</f>
        <v/>
      </c>
      <c r="O19" s="14" t="n"/>
      <c r="P19" s="15" t="n"/>
      <c r="Q19" s="12">
        <f>IF(P19="","",P19-I19)</f>
        <v/>
      </c>
      <c r="R19" s="16" t="n"/>
      <c r="S19" s="16" t="n"/>
      <c r="T19" s="17">
        <f>IF(D19="","",IFERROR(INDEX('费用归属表（快照）'!$C$4:$C$16,MATCH(D19,'费用归属表（快照）'!$A$4:$A$16,0)),""))</f>
        <v/>
      </c>
      <c r="U19" s="17">
        <f>IF(D19="","",IF(AND(D19="销售出库费用",B19="深圳星期九"),"永续供应中心 0010401",IF(AND(D19="原料入库费用",E19="小料"),"茶饮小料部 0030902",IFERROR(INDEX('费用归属表（快照）'!$D$4:$D$16,MATCH(D19,'费用归属表（快照）'!$A$4:$A$16,0)),""))))</f>
        <v/>
      </c>
      <c r="V19" s="17">
        <f>IF(D19="","",IFERROR(INDEX('费用归属表（快照）'!$B$4:$B$16,MATCH(D19,'费用归属表（快照）'!$A$4:$A$16,0)),""))</f>
        <v/>
      </c>
      <c r="W19" s="18">
        <f>IF(OR(E19="",AND(LEFT(T19,4)&lt;&gt;"6601",LEFT(T19,4)&lt;&gt;"6401")),"",IFERROR(IF(INDEX(选项!$I$2:$I$11,MATCH(E19,选项!$H$2:$H$11,0))="","",INDEX(选项!$I$2:$I$11,MATCH(E19,选项!$H$2:$H$11,0))),""))</f>
        <v/>
      </c>
      <c r="X19" s="18">
        <f>IF(OR(E19="",AND(LEFT(T19,4)&lt;&gt;"6601",LEFT(T19,4)&lt;&gt;"6401")),"",IFERROR(IF(INDEX(选项!$J$2:$J$11,MATCH(E19,选项!$H$2:$H$11,0))="","",INDEX(选项!$J$2:$J$11,MATCH(E19,选项!$H$2:$H$11,0))),""))</f>
        <v/>
      </c>
    </row>
    <row r="20">
      <c r="A20" s="8" t="inlineStr">
        <is>
          <t>2026-07</t>
        </is>
      </c>
      <c r="B20" s="9" t="inlineStr">
        <is>
          <t>深圳星期零</t>
        </is>
      </c>
      <c r="C20" s="9" t="inlineStr">
        <is>
          <t>易风达</t>
        </is>
      </c>
      <c r="D20" s="9" t="inlineStr">
        <is>
          <t>原料入库费用</t>
        </is>
      </c>
      <c r="E20" s="9" t="inlineStr">
        <is>
          <t>小料</t>
        </is>
      </c>
      <c r="F20" s="9" t="inlineStr">
        <is>
          <t>小料</t>
        </is>
      </c>
      <c r="G20" s="9" t="inlineStr">
        <is>
          <t>月结</t>
        </is>
      </c>
      <c r="H20" s="9" t="inlineStr"/>
      <c r="I20" s="10" t="n">
        <v>6000</v>
      </c>
      <c r="J20" s="11">
        <f>IFERROR(INDEX(供应商列表!$F$4:$R$25,MATCH(C20,供应商列表!$A$4:$A$25,0),MATCH(D20,供应商列表!$F$3:$R$3,0)),"")</f>
        <v/>
      </c>
      <c r="K20" s="12">
        <f>IFERROR(ROUND(I20/(1+J20),2),"")</f>
        <v/>
      </c>
      <c r="L20" s="12">
        <f>IFERROR(I20-K20,"")</f>
        <v/>
      </c>
      <c r="M20" s="8">
        <f>IFERROR(INDEX(供应商列表!$B$4:$B$25,MATCH(C20,供应商列表!$A$4:$A$25,0)),"")</f>
        <v/>
      </c>
      <c r="N20" s="13">
        <f>"计提"&amp;M20&amp;(MID(A20,6,2)*1)&amp;"月"&amp;IFERROR(INDEX(供应商列表!$E$4:$E$25,MATCH(C20,供应商列表!$A$4:$A$25,0)),"线下")&amp;IF(F20&lt;&gt;"",F20,IF(OR(E20="—",E20=""),"",E20))&amp;IFERROR(INDEX('费用归属表（快照）'!$F$4:$F$16,MATCH(D20,'费用归属表（快照）'!$A$4:$A$16,0)),"")</f>
        <v/>
      </c>
      <c r="O20" s="14" t="n"/>
      <c r="P20" s="15" t="n"/>
      <c r="Q20" s="12">
        <f>IF(P20="","",P20-I20)</f>
        <v/>
      </c>
      <c r="R20" s="16" t="n"/>
      <c r="S20" s="16" t="n"/>
      <c r="T20" s="17">
        <f>IF(D20="","",IFERROR(INDEX('费用归属表（快照）'!$C$4:$C$16,MATCH(D20,'费用归属表（快照）'!$A$4:$A$16,0)),""))</f>
        <v/>
      </c>
      <c r="U20" s="17">
        <f>IF(D20="","",IF(AND(D20="销售出库费用",B20="深圳星期九"),"永续供应中心 0010401",IF(AND(D20="原料入库费用",E20="小料"),"茶饮小料部 0030902",IFERROR(INDEX('费用归属表（快照）'!$D$4:$D$16,MATCH(D20,'费用归属表（快照）'!$A$4:$A$16,0)),""))))</f>
        <v/>
      </c>
      <c r="V20" s="17">
        <f>IF(D20="","",IFERROR(INDEX('费用归属表（快照）'!$B$4:$B$16,MATCH(D20,'费用归属表（快照）'!$A$4:$A$16,0)),""))</f>
        <v/>
      </c>
      <c r="W20" s="18">
        <f>IF(OR(E20="",AND(LEFT(T20,4)&lt;&gt;"6601",LEFT(T20,4)&lt;&gt;"6401")),"",IFERROR(IF(INDEX(选项!$I$2:$I$11,MATCH(E20,选项!$H$2:$H$11,0))="","",INDEX(选项!$I$2:$I$11,MATCH(E20,选项!$H$2:$H$11,0))),""))</f>
        <v/>
      </c>
      <c r="X20" s="18">
        <f>IF(OR(E20="",AND(LEFT(T20,4)&lt;&gt;"6601",LEFT(T20,4)&lt;&gt;"6401")),"",IFERROR(IF(INDEX(选项!$J$2:$J$11,MATCH(E20,选项!$H$2:$H$11,0))="","",INDEX(选项!$J$2:$J$11,MATCH(E20,选项!$H$2:$H$11,0))),""))</f>
        <v/>
      </c>
    </row>
    <row r="21">
      <c r="A21" s="8" t="inlineStr">
        <is>
          <t>2026-07</t>
        </is>
      </c>
      <c r="B21" s="9" t="inlineStr">
        <is>
          <t>深圳星期零</t>
        </is>
      </c>
      <c r="C21" s="9" t="inlineStr">
        <is>
          <t>易风达</t>
        </is>
      </c>
      <c r="D21" s="9" t="inlineStr">
        <is>
          <t>成品仓储费用</t>
        </is>
      </c>
      <c r="E21" s="9" t="inlineStr">
        <is>
          <t>—</t>
        </is>
      </c>
      <c r="F21" s="9" t="inlineStr"/>
      <c r="G21" s="9" t="inlineStr">
        <is>
          <t>月结</t>
        </is>
      </c>
      <c r="H21" s="9" t="inlineStr"/>
      <c r="I21" s="10" t="n">
        <v>45281.9</v>
      </c>
      <c r="J21" s="11">
        <f>IFERROR(INDEX(供应商列表!$F$4:$R$25,MATCH(C21,供应商列表!$A$4:$A$25,0),MATCH(D21,供应商列表!$F$3:$R$3,0)),"")</f>
        <v/>
      </c>
      <c r="K21" s="12">
        <f>IFERROR(ROUND(I21/(1+J21),2),"")</f>
        <v/>
      </c>
      <c r="L21" s="12">
        <f>IFERROR(I21-K21,"")</f>
        <v/>
      </c>
      <c r="M21" s="8">
        <f>IFERROR(INDEX(供应商列表!$B$4:$B$25,MATCH(C21,供应商列表!$A$4:$A$25,0)),"")</f>
        <v/>
      </c>
      <c r="N21" s="13">
        <f>"计提"&amp;M21&amp;(MID(A21,6,2)*1)&amp;"月"&amp;IFERROR(INDEX(供应商列表!$E$4:$E$25,MATCH(C21,供应商列表!$A$4:$A$25,0)),"线下")&amp;IF(F21&lt;&gt;"",F21,IF(OR(E21="—",E21=""),"",E21))&amp;IFERROR(INDEX('费用归属表（快照）'!$F$4:$F$16,MATCH(D21,'费用归属表（快照）'!$A$4:$A$16,0)),"")</f>
        <v/>
      </c>
      <c r="O21" s="14" t="n"/>
      <c r="P21" s="15" t="n"/>
      <c r="Q21" s="12">
        <f>IF(P21="","",P21-I21)</f>
        <v/>
      </c>
      <c r="R21" s="16" t="n"/>
      <c r="S21" s="16" t="n"/>
      <c r="T21" s="17">
        <f>IF(D21="","",IFERROR(INDEX('费用归属表（快照）'!$C$4:$C$16,MATCH(D21,'费用归属表（快照）'!$A$4:$A$16,0)),""))</f>
        <v/>
      </c>
      <c r="U21" s="17">
        <f>IF(D21="","",IF(AND(D21="销售出库费用",B21="深圳星期九"),"永续供应中心 0010401",IF(AND(D21="原料入库费用",E21="小料"),"茶饮小料部 0030902",IFERROR(INDEX('费用归属表（快照）'!$D$4:$D$16,MATCH(D21,'费用归属表（快照）'!$A$4:$A$16,0)),""))))</f>
        <v/>
      </c>
      <c r="V21" s="17">
        <f>IF(D21="","",IFERROR(INDEX('费用归属表（快照）'!$B$4:$B$16,MATCH(D21,'费用归属表（快照）'!$A$4:$A$16,0)),""))</f>
        <v/>
      </c>
      <c r="W21" s="18">
        <f>IF(OR(E21="",AND(LEFT(T21,4)&lt;&gt;"6601",LEFT(T21,4)&lt;&gt;"6401")),"",IFERROR(IF(INDEX(选项!$I$2:$I$11,MATCH(E21,选项!$H$2:$H$11,0))="","",INDEX(选项!$I$2:$I$11,MATCH(E21,选项!$H$2:$H$11,0))),""))</f>
        <v/>
      </c>
      <c r="X21" s="18">
        <f>IF(OR(E21="",AND(LEFT(T21,4)&lt;&gt;"6601",LEFT(T21,4)&lt;&gt;"6401")),"",IFERROR(IF(INDEX(选项!$J$2:$J$11,MATCH(E21,选项!$H$2:$H$11,0))="","",INDEX(选项!$J$2:$J$11,MATCH(E21,选项!$H$2:$H$11,0))),""))</f>
        <v/>
      </c>
    </row>
    <row r="22">
      <c r="A22" s="8" t="inlineStr">
        <is>
          <t>2026-07</t>
        </is>
      </c>
      <c r="B22" s="9" t="inlineStr">
        <is>
          <t>深圳星期零</t>
        </is>
      </c>
      <c r="C22" s="9" t="inlineStr">
        <is>
          <t>诚煜物流</t>
        </is>
      </c>
      <c r="D22" s="9" t="inlineStr">
        <is>
          <t>销售出库费用</t>
        </is>
      </c>
      <c r="E22" s="9" t="inlineStr">
        <is>
          <t>鲜食</t>
        </is>
      </c>
      <c r="F22" s="9" t="inlineStr"/>
      <c r="G22" s="9" t="inlineStr">
        <is>
          <t>月结</t>
        </is>
      </c>
      <c r="H22" s="9" t="inlineStr"/>
      <c r="I22" s="10" t="n">
        <v>183204.47</v>
      </c>
      <c r="J22" s="11">
        <f>IFERROR(INDEX(供应商列表!$F$4:$R$25,MATCH(C22,供应商列表!$A$4:$A$25,0),MATCH(D22,供应商列表!$F$3:$R$3,0)),"")</f>
        <v/>
      </c>
      <c r="K22" s="12">
        <f>IFERROR(ROUND(I22/(1+J22),2),"")</f>
        <v/>
      </c>
      <c r="L22" s="12">
        <f>IFERROR(I22-K22,"")</f>
        <v/>
      </c>
      <c r="M22" s="8">
        <f>IFERROR(INDEX(供应商列表!$B$4:$B$25,MATCH(C22,供应商列表!$A$4:$A$25,0)),"")</f>
        <v/>
      </c>
      <c r="N22" s="13">
        <f>"计提"&amp;M22&amp;(MID(A22,6,2)*1)&amp;"月"&amp;IFERROR(INDEX(供应商列表!$E$4:$E$25,MATCH(C22,供应商列表!$A$4:$A$25,0)),"线下")&amp;IF(F22&lt;&gt;"",F22,IF(OR(E22="—",E22=""),"",E22))&amp;IFERROR(INDEX('费用归属表（快照）'!$F$4:$F$16,MATCH(D22,'费用归属表（快照）'!$A$4:$A$16,0)),"")</f>
        <v/>
      </c>
      <c r="O22" s="14" t="n"/>
      <c r="P22" s="15" t="n"/>
      <c r="Q22" s="12">
        <f>IF(P22="","",P22-I22)</f>
        <v/>
      </c>
      <c r="R22" s="16" t="n"/>
      <c r="S22" s="16" t="n"/>
      <c r="T22" s="17">
        <f>IF(D22="","",IFERROR(INDEX('费用归属表（快照）'!$C$4:$C$16,MATCH(D22,'费用归属表（快照）'!$A$4:$A$16,0)),""))</f>
        <v/>
      </c>
      <c r="U22" s="17">
        <f>IF(D22="","",IF(AND(D22="销售出库费用",B22="深圳星期九"),"永续供应中心 0010401",IF(AND(D22="原料入库费用",E22="小料"),"茶饮小料部 0030902",IFERROR(INDEX('费用归属表（快照）'!$D$4:$D$16,MATCH(D22,'费用归属表（快照）'!$A$4:$A$16,0)),""))))</f>
        <v/>
      </c>
      <c r="V22" s="17">
        <f>IF(D22="","",IFERROR(INDEX('费用归属表（快照）'!$B$4:$B$16,MATCH(D22,'费用归属表（快照）'!$A$4:$A$16,0)),""))</f>
        <v/>
      </c>
      <c r="W22" s="18">
        <f>IF(OR(E22="",AND(LEFT(T22,4)&lt;&gt;"6601",LEFT(T22,4)&lt;&gt;"6401")),"",IFERROR(IF(INDEX(选项!$I$2:$I$11,MATCH(E22,选项!$H$2:$H$11,0))="","",INDEX(选项!$I$2:$I$11,MATCH(E22,选项!$H$2:$H$11,0))),""))</f>
        <v/>
      </c>
      <c r="X22" s="18">
        <f>IF(OR(E22="",AND(LEFT(T22,4)&lt;&gt;"6601",LEFT(T22,4)&lt;&gt;"6401")),"",IFERROR(IF(INDEX(选项!$J$2:$J$11,MATCH(E22,选项!$H$2:$H$11,0))="","",INDEX(选项!$J$2:$J$11,MATCH(E22,选项!$H$2:$H$11,0))),""))</f>
        <v/>
      </c>
    </row>
    <row r="23">
      <c r="A23" s="8" t="inlineStr">
        <is>
          <t>2026-07</t>
        </is>
      </c>
      <c r="B23" s="9" t="inlineStr">
        <is>
          <t>深圳星期零</t>
        </is>
      </c>
      <c r="C23" s="9" t="inlineStr">
        <is>
          <t>链盟</t>
        </is>
      </c>
      <c r="D23" s="9" t="inlineStr">
        <is>
          <t>销售出库费用</t>
        </is>
      </c>
      <c r="E23" s="9" t="inlineStr">
        <is>
          <t>植物肉</t>
        </is>
      </c>
      <c r="F23" s="9" t="inlineStr"/>
      <c r="G23" s="9" t="inlineStr">
        <is>
          <t>月结</t>
        </is>
      </c>
      <c r="H23" s="9" t="inlineStr"/>
      <c r="I23" s="10" t="n">
        <v>5827.5</v>
      </c>
      <c r="J23" s="11">
        <f>IFERROR(INDEX(供应商列表!$F$4:$R$25,MATCH(C23,供应商列表!$A$4:$A$25,0),MATCH(D23,供应商列表!$F$3:$R$3,0)),"")</f>
        <v/>
      </c>
      <c r="K23" s="12">
        <f>IFERROR(ROUND(I23/(1+J23),2),"")</f>
        <v/>
      </c>
      <c r="L23" s="12">
        <f>IFERROR(I23-K23,"")</f>
        <v/>
      </c>
      <c r="M23" s="8">
        <f>IFERROR(INDEX(供应商列表!$B$4:$B$25,MATCH(C23,供应商列表!$A$4:$A$25,0)),"")</f>
        <v/>
      </c>
      <c r="N23" s="13">
        <f>"计提"&amp;M23&amp;(MID(A23,6,2)*1)&amp;"月"&amp;IFERROR(INDEX(供应商列表!$E$4:$E$25,MATCH(C23,供应商列表!$A$4:$A$25,0)),"线下")&amp;IF(F23&lt;&gt;"",F23,IF(OR(E23="—",E23=""),"",E23))&amp;IFERROR(INDEX('费用归属表（快照）'!$F$4:$F$16,MATCH(D23,'费用归属表（快照）'!$A$4:$A$16,0)),"")</f>
        <v/>
      </c>
      <c r="O23" s="14" t="n"/>
      <c r="P23" s="15" t="n"/>
      <c r="Q23" s="12">
        <f>IF(P23="","",P23-I23)</f>
        <v/>
      </c>
      <c r="R23" s="16" t="n"/>
      <c r="S23" s="16" t="n"/>
      <c r="T23" s="17">
        <f>IF(D23="","",IFERROR(INDEX('费用归属表（快照）'!$C$4:$C$16,MATCH(D23,'费用归属表（快照）'!$A$4:$A$16,0)),""))</f>
        <v/>
      </c>
      <c r="U23" s="17">
        <f>IF(D23="","",IF(AND(D23="销售出库费用",B23="深圳星期九"),"永续供应中心 0010401",IF(AND(D23="原料入库费用",E23="小料"),"茶饮小料部 0030902",IFERROR(INDEX('费用归属表（快照）'!$D$4:$D$16,MATCH(D23,'费用归属表（快照）'!$A$4:$A$16,0)),""))))</f>
        <v/>
      </c>
      <c r="V23" s="17">
        <f>IF(D23="","",IFERROR(INDEX('费用归属表（快照）'!$B$4:$B$16,MATCH(D23,'费用归属表（快照）'!$A$4:$A$16,0)),""))</f>
        <v/>
      </c>
      <c r="W23" s="18">
        <f>IF(OR(E23="",AND(LEFT(T23,4)&lt;&gt;"6601",LEFT(T23,4)&lt;&gt;"6401")),"",IFERROR(IF(INDEX(选项!$I$2:$I$11,MATCH(E23,选项!$H$2:$H$11,0))="","",INDEX(选项!$I$2:$I$11,MATCH(E23,选项!$H$2:$H$11,0))),""))</f>
        <v/>
      </c>
      <c r="X23" s="18">
        <f>IF(OR(E23="",AND(LEFT(T23,4)&lt;&gt;"6601",LEFT(T23,4)&lt;&gt;"6401")),"",IFERROR(IF(INDEX(选项!$J$2:$J$11,MATCH(E23,选项!$H$2:$H$11,0))="","",INDEX(选项!$J$2:$J$11,MATCH(E23,选项!$H$2:$H$11,0))),""))</f>
        <v/>
      </c>
    </row>
    <row r="24">
      <c r="A24" s="8" t="inlineStr">
        <is>
          <t>2026-07</t>
        </is>
      </c>
      <c r="B24" s="9" t="inlineStr">
        <is>
          <t>深圳星期零</t>
        </is>
      </c>
      <c r="C24" s="9" t="inlineStr">
        <is>
          <t>链盟</t>
        </is>
      </c>
      <c r="D24" s="9" t="inlineStr">
        <is>
          <t>销售出库费用</t>
        </is>
      </c>
      <c r="E24" s="9" t="inlineStr">
        <is>
          <t>鲜食</t>
        </is>
      </c>
      <c r="F24" s="9" t="inlineStr"/>
      <c r="G24" s="9" t="inlineStr">
        <is>
          <t>月结</t>
        </is>
      </c>
      <c r="H24" s="9" t="inlineStr"/>
      <c r="I24" s="10" t="n">
        <v>1500</v>
      </c>
      <c r="J24" s="11">
        <f>IFERROR(INDEX(供应商列表!$F$4:$R$25,MATCH(C24,供应商列表!$A$4:$A$25,0),MATCH(D24,供应商列表!$F$3:$R$3,0)),"")</f>
        <v/>
      </c>
      <c r="K24" s="12">
        <f>IFERROR(ROUND(I24/(1+J24),2),"")</f>
        <v/>
      </c>
      <c r="L24" s="12">
        <f>IFERROR(I24-K24,"")</f>
        <v/>
      </c>
      <c r="M24" s="8">
        <f>IFERROR(INDEX(供应商列表!$B$4:$B$25,MATCH(C24,供应商列表!$A$4:$A$25,0)),"")</f>
        <v/>
      </c>
      <c r="N24" s="13">
        <f>"计提"&amp;M24&amp;(MID(A24,6,2)*1)&amp;"月"&amp;IFERROR(INDEX(供应商列表!$E$4:$E$25,MATCH(C24,供应商列表!$A$4:$A$25,0)),"线下")&amp;IF(F24&lt;&gt;"",F24,IF(OR(E24="—",E24=""),"",E24))&amp;IFERROR(INDEX('费用归属表（快照）'!$F$4:$F$16,MATCH(D24,'费用归属表（快照）'!$A$4:$A$16,0)),"")</f>
        <v/>
      </c>
      <c r="O24" s="14" t="n"/>
      <c r="P24" s="15" t="n"/>
      <c r="Q24" s="12">
        <f>IF(P24="","",P24-I24)</f>
        <v/>
      </c>
      <c r="R24" s="16" t="n"/>
      <c r="S24" s="16" t="n"/>
      <c r="T24" s="17">
        <f>IF(D24="","",IFERROR(INDEX('费用归属表（快照）'!$C$4:$C$16,MATCH(D24,'费用归属表（快照）'!$A$4:$A$16,0)),""))</f>
        <v/>
      </c>
      <c r="U24" s="17">
        <f>IF(D24="","",IF(AND(D24="销售出库费用",B24="深圳星期九"),"永续供应中心 0010401",IF(AND(D24="原料入库费用",E24="小料"),"茶饮小料部 0030902",IFERROR(INDEX('费用归属表（快照）'!$D$4:$D$16,MATCH(D24,'费用归属表（快照）'!$A$4:$A$16,0)),""))))</f>
        <v/>
      </c>
      <c r="V24" s="17">
        <f>IF(D24="","",IFERROR(INDEX('费用归属表（快照）'!$B$4:$B$16,MATCH(D24,'费用归属表（快照）'!$A$4:$A$16,0)),""))</f>
        <v/>
      </c>
      <c r="W24" s="18">
        <f>IF(OR(E24="",AND(LEFT(T24,4)&lt;&gt;"6601",LEFT(T24,4)&lt;&gt;"6401")),"",IFERROR(IF(INDEX(选项!$I$2:$I$11,MATCH(E24,选项!$H$2:$H$11,0))="","",INDEX(选项!$I$2:$I$11,MATCH(E24,选项!$H$2:$H$11,0))),""))</f>
        <v/>
      </c>
      <c r="X24" s="18">
        <f>IF(OR(E24="",AND(LEFT(T24,4)&lt;&gt;"6601",LEFT(T24,4)&lt;&gt;"6401")),"",IFERROR(IF(INDEX(选项!$J$2:$J$11,MATCH(E24,选项!$H$2:$H$11,0))="","",INDEX(选项!$J$2:$J$11,MATCH(E24,选项!$H$2:$H$11,0))),""))</f>
        <v/>
      </c>
    </row>
    <row r="25">
      <c r="A25" s="8" t="inlineStr">
        <is>
          <t>2026-07</t>
        </is>
      </c>
      <c r="B25" s="9" t="inlineStr">
        <is>
          <t>深圳星期零</t>
        </is>
      </c>
      <c r="C25" s="9" t="inlineStr">
        <is>
          <t>链盟</t>
        </is>
      </c>
      <c r="D25" s="9" t="inlineStr">
        <is>
          <t>销售出库费用</t>
        </is>
      </c>
      <c r="E25" s="9" t="inlineStr">
        <is>
          <t>山姆零售</t>
        </is>
      </c>
      <c r="F25" s="9" t="inlineStr"/>
      <c r="G25" s="9" t="inlineStr">
        <is>
          <t>月结</t>
        </is>
      </c>
      <c r="H25" s="9" t="inlineStr"/>
      <c r="I25" s="10" t="n">
        <v>880</v>
      </c>
      <c r="J25" s="11">
        <f>IFERROR(INDEX(供应商列表!$F$4:$R$25,MATCH(C25,供应商列表!$A$4:$A$25,0),MATCH(D25,供应商列表!$F$3:$R$3,0)),"")</f>
        <v/>
      </c>
      <c r="K25" s="12">
        <f>IFERROR(ROUND(I25/(1+J25),2),"")</f>
        <v/>
      </c>
      <c r="L25" s="12">
        <f>IFERROR(I25-K25,"")</f>
        <v/>
      </c>
      <c r="M25" s="8">
        <f>IFERROR(INDEX(供应商列表!$B$4:$B$25,MATCH(C25,供应商列表!$A$4:$A$25,0)),"")</f>
        <v/>
      </c>
      <c r="N25" s="13">
        <f>"计提"&amp;M25&amp;(MID(A25,6,2)*1)&amp;"月"&amp;IFERROR(INDEX(供应商列表!$E$4:$E$25,MATCH(C25,供应商列表!$A$4:$A$25,0)),"线下")&amp;IF(F25&lt;&gt;"",F25,IF(OR(E25="—",E25=""),"",E25))&amp;IFERROR(INDEX('费用归属表（快照）'!$F$4:$F$16,MATCH(D25,'费用归属表（快照）'!$A$4:$A$16,0)),"")</f>
        <v/>
      </c>
      <c r="O25" s="14" t="n"/>
      <c r="P25" s="15" t="n"/>
      <c r="Q25" s="12">
        <f>IF(P25="","",P25-I25)</f>
        <v/>
      </c>
      <c r="R25" s="16" t="n"/>
      <c r="S25" s="16" t="n"/>
      <c r="T25" s="17">
        <f>IF(D25="","",IFERROR(INDEX('费用归属表（快照）'!$C$4:$C$16,MATCH(D25,'费用归属表（快照）'!$A$4:$A$16,0)),""))</f>
        <v/>
      </c>
      <c r="U25" s="17">
        <f>IF(D25="","",IF(AND(D25="销售出库费用",B25="深圳星期九"),"永续供应中心 0010401",IF(AND(D25="原料入库费用",E25="小料"),"茶饮小料部 0030902",IFERROR(INDEX('费用归属表（快照）'!$D$4:$D$16,MATCH(D25,'费用归属表（快照）'!$A$4:$A$16,0)),""))))</f>
        <v/>
      </c>
      <c r="V25" s="17">
        <f>IF(D25="","",IFERROR(INDEX('费用归属表（快照）'!$B$4:$B$16,MATCH(D25,'费用归属表（快照）'!$A$4:$A$16,0)),""))</f>
        <v/>
      </c>
      <c r="W25" s="18">
        <f>IF(OR(E25="",AND(LEFT(T25,4)&lt;&gt;"6601",LEFT(T25,4)&lt;&gt;"6401")),"",IFERROR(IF(INDEX(选项!$I$2:$I$11,MATCH(E25,选项!$H$2:$H$11,0))="","",INDEX(选项!$I$2:$I$11,MATCH(E25,选项!$H$2:$H$11,0))),""))</f>
        <v/>
      </c>
      <c r="X25" s="18">
        <f>IF(OR(E25="",AND(LEFT(T25,4)&lt;&gt;"6601",LEFT(T25,4)&lt;&gt;"6401")),"",IFERROR(IF(INDEX(选项!$J$2:$J$11,MATCH(E25,选项!$H$2:$H$11,0))="","",INDEX(选项!$J$2:$J$11,MATCH(E25,选项!$H$2:$H$11,0))),""))</f>
        <v/>
      </c>
    </row>
    <row r="26">
      <c r="A26" s="8" t="inlineStr">
        <is>
          <t>2026-07</t>
        </is>
      </c>
      <c r="B26" s="9" t="inlineStr">
        <is>
          <t>深圳星期零</t>
        </is>
      </c>
      <c r="C26" s="9" t="inlineStr">
        <is>
          <t>链盟</t>
        </is>
      </c>
      <c r="D26" s="9" t="inlineStr">
        <is>
          <t>销售出库费用</t>
        </is>
      </c>
      <c r="E26" s="9" t="inlineStr">
        <is>
          <t>零售</t>
        </is>
      </c>
      <c r="F26" s="9" t="inlineStr"/>
      <c r="G26" s="9" t="inlineStr">
        <is>
          <t>月结</t>
        </is>
      </c>
      <c r="H26" s="9" t="inlineStr"/>
      <c r="I26" s="10" t="n">
        <v>3350</v>
      </c>
      <c r="J26" s="11">
        <f>IFERROR(INDEX(供应商列表!$F$4:$R$25,MATCH(C26,供应商列表!$A$4:$A$25,0),MATCH(D26,供应商列表!$F$3:$R$3,0)),"")</f>
        <v/>
      </c>
      <c r="K26" s="12">
        <f>IFERROR(ROUND(I26/(1+J26),2),"")</f>
        <v/>
      </c>
      <c r="L26" s="12">
        <f>IFERROR(I26-K26,"")</f>
        <v/>
      </c>
      <c r="M26" s="8">
        <f>IFERROR(INDEX(供应商列表!$B$4:$B$25,MATCH(C26,供应商列表!$A$4:$A$25,0)),"")</f>
        <v/>
      </c>
      <c r="N26" s="13">
        <f>"计提"&amp;M26&amp;(MID(A26,6,2)*1)&amp;"月"&amp;IFERROR(INDEX(供应商列表!$E$4:$E$25,MATCH(C26,供应商列表!$A$4:$A$25,0)),"线下")&amp;IF(F26&lt;&gt;"",F26,IF(OR(E26="—",E26=""),"",E26))&amp;IFERROR(INDEX('费用归属表（快照）'!$F$4:$F$16,MATCH(D26,'费用归属表（快照）'!$A$4:$A$16,0)),"")</f>
        <v/>
      </c>
      <c r="O26" s="14" t="n"/>
      <c r="P26" s="15" t="n"/>
      <c r="Q26" s="12">
        <f>IF(P26="","",P26-I26)</f>
        <v/>
      </c>
      <c r="R26" s="16" t="n"/>
      <c r="S26" s="16" t="n"/>
      <c r="T26" s="17">
        <f>IF(D26="","",IFERROR(INDEX('费用归属表（快照）'!$C$4:$C$16,MATCH(D26,'费用归属表（快照）'!$A$4:$A$16,0)),""))</f>
        <v/>
      </c>
      <c r="U26" s="17">
        <f>IF(D26="","",IF(AND(D26="销售出库费用",B26="深圳星期九"),"永续供应中心 0010401",IF(AND(D26="原料入库费用",E26="小料"),"茶饮小料部 0030902",IFERROR(INDEX('费用归属表（快照）'!$D$4:$D$16,MATCH(D26,'费用归属表（快照）'!$A$4:$A$16,0)),""))))</f>
        <v/>
      </c>
      <c r="V26" s="17">
        <f>IF(D26="","",IFERROR(INDEX('费用归属表（快照）'!$B$4:$B$16,MATCH(D26,'费用归属表（快照）'!$A$4:$A$16,0)),""))</f>
        <v/>
      </c>
      <c r="W26" s="18">
        <f>IF(OR(E26="",AND(LEFT(T26,4)&lt;&gt;"6601",LEFT(T26,4)&lt;&gt;"6401")),"",IFERROR(IF(INDEX(选项!$I$2:$I$11,MATCH(E26,选项!$H$2:$H$11,0))="","",INDEX(选项!$I$2:$I$11,MATCH(E26,选项!$H$2:$H$11,0))),""))</f>
        <v/>
      </c>
      <c r="X26" s="18">
        <f>IF(OR(E26="",AND(LEFT(T26,4)&lt;&gt;"6601",LEFT(T26,4)&lt;&gt;"6401")),"",IFERROR(IF(INDEX(选项!$J$2:$J$11,MATCH(E26,选项!$H$2:$H$11,0))="","",INDEX(选项!$J$2:$J$11,MATCH(E26,选项!$H$2:$H$11,0))),""))</f>
        <v/>
      </c>
    </row>
    <row r="27">
      <c r="A27" s="8" t="inlineStr">
        <is>
          <t>2026-07</t>
        </is>
      </c>
      <c r="B27" s="9" t="inlineStr">
        <is>
          <t>深圳星期零</t>
        </is>
      </c>
      <c r="C27" s="9" t="inlineStr">
        <is>
          <t>链盟</t>
        </is>
      </c>
      <c r="D27" s="9" t="inlineStr">
        <is>
          <t>销售出库费用</t>
        </is>
      </c>
      <c r="E27" s="9" t="inlineStr">
        <is>
          <t>小料</t>
        </is>
      </c>
      <c r="F27" s="9" t="inlineStr"/>
      <c r="G27" s="9" t="inlineStr">
        <is>
          <t>月结</t>
        </is>
      </c>
      <c r="H27" s="9" t="inlineStr"/>
      <c r="I27" s="10" t="n">
        <v>15760</v>
      </c>
      <c r="J27" s="11">
        <f>IFERROR(INDEX(供应商列表!$F$4:$R$25,MATCH(C27,供应商列表!$A$4:$A$25,0),MATCH(D27,供应商列表!$F$3:$R$3,0)),"")</f>
        <v/>
      </c>
      <c r="K27" s="12">
        <f>IFERROR(ROUND(I27/(1+J27),2),"")</f>
        <v/>
      </c>
      <c r="L27" s="12">
        <f>IFERROR(I27-K27,"")</f>
        <v/>
      </c>
      <c r="M27" s="8">
        <f>IFERROR(INDEX(供应商列表!$B$4:$B$25,MATCH(C27,供应商列表!$A$4:$A$25,0)),"")</f>
        <v/>
      </c>
      <c r="N27" s="13">
        <f>"计提"&amp;M27&amp;(MID(A27,6,2)*1)&amp;"月"&amp;IFERROR(INDEX(供应商列表!$E$4:$E$25,MATCH(C27,供应商列表!$A$4:$A$25,0)),"线下")&amp;IF(F27&lt;&gt;"",F27,IF(OR(E27="—",E27=""),"",E27))&amp;IFERROR(INDEX('费用归属表（快照）'!$F$4:$F$16,MATCH(D27,'费用归属表（快照）'!$A$4:$A$16,0)),"")</f>
        <v/>
      </c>
      <c r="O27" s="14" t="n"/>
      <c r="P27" s="15" t="n"/>
      <c r="Q27" s="12">
        <f>IF(P27="","",P27-I27)</f>
        <v/>
      </c>
      <c r="R27" s="16" t="n"/>
      <c r="S27" s="16" t="n"/>
      <c r="T27" s="17">
        <f>IF(D27="","",IFERROR(INDEX('费用归属表（快照）'!$C$4:$C$16,MATCH(D27,'费用归属表（快照）'!$A$4:$A$16,0)),""))</f>
        <v/>
      </c>
      <c r="U27" s="17">
        <f>IF(D27="","",IF(AND(D27="销售出库费用",B27="深圳星期九"),"永续供应中心 0010401",IF(AND(D27="原料入库费用",E27="小料"),"茶饮小料部 0030902",IFERROR(INDEX('费用归属表（快照）'!$D$4:$D$16,MATCH(D27,'费用归属表（快照）'!$A$4:$A$16,0)),""))))</f>
        <v/>
      </c>
      <c r="V27" s="17">
        <f>IF(D27="","",IFERROR(INDEX('费用归属表（快照）'!$B$4:$B$16,MATCH(D27,'费用归属表（快照）'!$A$4:$A$16,0)),""))</f>
        <v/>
      </c>
      <c r="W27" s="18">
        <f>IF(OR(E27="",AND(LEFT(T27,4)&lt;&gt;"6601",LEFT(T27,4)&lt;&gt;"6401")),"",IFERROR(IF(INDEX(选项!$I$2:$I$11,MATCH(E27,选项!$H$2:$H$11,0))="","",INDEX(选项!$I$2:$I$11,MATCH(E27,选项!$H$2:$H$11,0))),""))</f>
        <v/>
      </c>
      <c r="X27" s="18">
        <f>IF(OR(E27="",AND(LEFT(T27,4)&lt;&gt;"6601",LEFT(T27,4)&lt;&gt;"6401")),"",IFERROR(IF(INDEX(选项!$J$2:$J$11,MATCH(E27,选项!$H$2:$H$11,0))="","",INDEX(选项!$J$2:$J$11,MATCH(E27,选项!$H$2:$H$11,0))),""))</f>
        <v/>
      </c>
    </row>
    <row r="28">
      <c r="A28" s="8" t="inlineStr">
        <is>
          <t>2026-07</t>
        </is>
      </c>
      <c r="B28" s="9" t="inlineStr">
        <is>
          <t>深圳星期零</t>
        </is>
      </c>
      <c r="C28" s="9" t="inlineStr">
        <is>
          <t>链盟</t>
        </is>
      </c>
      <c r="D28" s="9" t="inlineStr">
        <is>
          <t>原料入库费用</t>
        </is>
      </c>
      <c r="E28" s="9" t="inlineStr">
        <is>
          <t>—</t>
        </is>
      </c>
      <c r="F28" s="9" t="inlineStr">
        <is>
          <t>孝感工厂</t>
        </is>
      </c>
      <c r="G28" s="9" t="inlineStr">
        <is>
          <t>月结</t>
        </is>
      </c>
      <c r="H28" s="9" t="inlineStr"/>
      <c r="I28" s="10" t="n">
        <v>760</v>
      </c>
      <c r="J28" s="11">
        <f>IFERROR(INDEX(供应商列表!$F$4:$R$25,MATCH(C28,供应商列表!$A$4:$A$25,0),MATCH(D28,供应商列表!$F$3:$R$3,0)),"")</f>
        <v/>
      </c>
      <c r="K28" s="12">
        <f>IFERROR(ROUND(I28/(1+J28),2),"")</f>
        <v/>
      </c>
      <c r="L28" s="12">
        <f>IFERROR(I28-K28,"")</f>
        <v/>
      </c>
      <c r="M28" s="8">
        <f>IFERROR(INDEX(供应商列表!$B$4:$B$25,MATCH(C28,供应商列表!$A$4:$A$25,0)),"")</f>
        <v/>
      </c>
      <c r="N28" s="13">
        <f>"计提"&amp;M28&amp;(MID(A28,6,2)*1)&amp;"月"&amp;IFERROR(INDEX(供应商列表!$E$4:$E$25,MATCH(C28,供应商列表!$A$4:$A$25,0)),"线下")&amp;IF(F28&lt;&gt;"",F28,IF(OR(E28="—",E28=""),"",E28))&amp;IFERROR(INDEX('费用归属表（快照）'!$F$4:$F$16,MATCH(D28,'费用归属表（快照）'!$A$4:$A$16,0)),"")</f>
        <v/>
      </c>
      <c r="O28" s="14" t="n"/>
      <c r="P28" s="15" t="n"/>
      <c r="Q28" s="12">
        <f>IF(P28="","",P28-I28)</f>
        <v/>
      </c>
      <c r="R28" s="16" t="n"/>
      <c r="S28" s="16" t="n"/>
      <c r="T28" s="17">
        <f>IF(D28="","",IFERROR(INDEX('费用归属表（快照）'!$C$4:$C$16,MATCH(D28,'费用归属表（快照）'!$A$4:$A$16,0)),""))</f>
        <v/>
      </c>
      <c r="U28" s="17">
        <f>IF(D28="","",IF(AND(D28="销售出库费用",B28="深圳星期九"),"永续供应中心 0010401",IF(AND(D28="原料入库费用",E28="小料"),"茶饮小料部 0030902",IFERROR(INDEX('费用归属表（快照）'!$D$4:$D$16,MATCH(D28,'费用归属表（快照）'!$A$4:$A$16,0)),""))))</f>
        <v/>
      </c>
      <c r="V28" s="17">
        <f>IF(D28="","",IFERROR(INDEX('费用归属表（快照）'!$B$4:$B$16,MATCH(D28,'费用归属表（快照）'!$A$4:$A$16,0)),""))</f>
        <v/>
      </c>
      <c r="W28" s="18">
        <f>IF(OR(E28="",AND(LEFT(T28,4)&lt;&gt;"6601",LEFT(T28,4)&lt;&gt;"6401")),"",IFERROR(IF(INDEX(选项!$I$2:$I$11,MATCH(E28,选项!$H$2:$H$11,0))="","",INDEX(选项!$I$2:$I$11,MATCH(E28,选项!$H$2:$H$11,0))),""))</f>
        <v/>
      </c>
      <c r="X28" s="18">
        <f>IF(OR(E28="",AND(LEFT(T28,4)&lt;&gt;"6601",LEFT(T28,4)&lt;&gt;"6401")),"",IFERROR(IF(INDEX(选项!$J$2:$J$11,MATCH(E28,选项!$H$2:$H$11,0))="","",INDEX(选项!$J$2:$J$11,MATCH(E28,选项!$H$2:$H$11,0))),""))</f>
        <v/>
      </c>
    </row>
    <row r="29">
      <c r="A29" s="8" t="inlineStr">
        <is>
          <t>2026-07</t>
        </is>
      </c>
      <c r="B29" s="9" t="inlineStr">
        <is>
          <t>深圳星期零</t>
        </is>
      </c>
      <c r="C29" s="9" t="inlineStr">
        <is>
          <t>链盟</t>
        </is>
      </c>
      <c r="D29" s="9" t="inlineStr">
        <is>
          <t>原料入库费用</t>
        </is>
      </c>
      <c r="E29" s="9" t="inlineStr">
        <is>
          <t>小料</t>
        </is>
      </c>
      <c r="F29" s="9" t="inlineStr">
        <is>
          <t>小料</t>
        </is>
      </c>
      <c r="G29" s="9" t="inlineStr">
        <is>
          <t>月结</t>
        </is>
      </c>
      <c r="H29" s="9" t="inlineStr"/>
      <c r="I29" s="10" t="n">
        <v>24600</v>
      </c>
      <c r="J29" s="11">
        <f>IFERROR(INDEX(供应商列表!$F$4:$R$25,MATCH(C29,供应商列表!$A$4:$A$25,0),MATCH(D29,供应商列表!$F$3:$R$3,0)),"")</f>
        <v/>
      </c>
      <c r="K29" s="12">
        <f>IFERROR(ROUND(I29/(1+J29),2),"")</f>
        <v/>
      </c>
      <c r="L29" s="12">
        <f>IFERROR(I29-K29,"")</f>
        <v/>
      </c>
      <c r="M29" s="8">
        <f>IFERROR(INDEX(供应商列表!$B$4:$B$25,MATCH(C29,供应商列表!$A$4:$A$25,0)),"")</f>
        <v/>
      </c>
      <c r="N29" s="13">
        <f>"计提"&amp;M29&amp;(MID(A29,6,2)*1)&amp;"月"&amp;IFERROR(INDEX(供应商列表!$E$4:$E$25,MATCH(C29,供应商列表!$A$4:$A$25,0)),"线下")&amp;IF(F29&lt;&gt;"",F29,IF(OR(E29="—",E29=""),"",E29))&amp;IFERROR(INDEX('费用归属表（快照）'!$F$4:$F$16,MATCH(D29,'费用归属表（快照）'!$A$4:$A$16,0)),"")</f>
        <v/>
      </c>
      <c r="O29" s="14" t="n"/>
      <c r="P29" s="15" t="n"/>
      <c r="Q29" s="12">
        <f>IF(P29="","",P29-I29)</f>
        <v/>
      </c>
      <c r="R29" s="16" t="n"/>
      <c r="S29" s="16" t="n"/>
      <c r="T29" s="17">
        <f>IF(D29="","",IFERROR(INDEX('费用归属表（快照）'!$C$4:$C$16,MATCH(D29,'费用归属表（快照）'!$A$4:$A$16,0)),""))</f>
        <v/>
      </c>
      <c r="U29" s="17">
        <f>IF(D29="","",IF(AND(D29="销售出库费用",B29="深圳星期九"),"永续供应中心 0010401",IF(AND(D29="原料入库费用",E29="小料"),"茶饮小料部 0030902",IFERROR(INDEX('费用归属表（快照）'!$D$4:$D$16,MATCH(D29,'费用归属表（快照）'!$A$4:$A$16,0)),""))))</f>
        <v/>
      </c>
      <c r="V29" s="17">
        <f>IF(D29="","",IFERROR(INDEX('费用归属表（快照）'!$B$4:$B$16,MATCH(D29,'费用归属表（快照）'!$A$4:$A$16,0)),""))</f>
        <v/>
      </c>
      <c r="W29" s="18">
        <f>IF(OR(E29="",AND(LEFT(T29,4)&lt;&gt;"6601",LEFT(T29,4)&lt;&gt;"6401")),"",IFERROR(IF(INDEX(选项!$I$2:$I$11,MATCH(E29,选项!$H$2:$H$11,0))="","",INDEX(选项!$I$2:$I$11,MATCH(E29,选项!$H$2:$H$11,0))),""))</f>
        <v/>
      </c>
      <c r="X29" s="18">
        <f>IF(OR(E29="",AND(LEFT(T29,4)&lt;&gt;"6601",LEFT(T29,4)&lt;&gt;"6401")),"",IFERROR(IF(INDEX(选项!$J$2:$J$11,MATCH(E29,选项!$H$2:$H$11,0))="","",INDEX(选项!$J$2:$J$11,MATCH(E29,选项!$H$2:$H$11,0))),""))</f>
        <v/>
      </c>
    </row>
    <row r="30">
      <c r="A30" s="8" t="inlineStr">
        <is>
          <t>2026-07</t>
        </is>
      </c>
      <c r="B30" s="9" t="inlineStr">
        <is>
          <t>深圳星期零</t>
        </is>
      </c>
      <c r="C30" s="9" t="inlineStr">
        <is>
          <t>链盟</t>
        </is>
      </c>
      <c r="D30" s="9" t="inlineStr">
        <is>
          <t>销售出库费用</t>
        </is>
      </c>
      <c r="E30" s="9" t="inlineStr">
        <is>
          <t>小料</t>
        </is>
      </c>
      <c r="F30" s="9" t="inlineStr"/>
      <c r="G30" s="9" t="inlineStr">
        <is>
          <t>月结</t>
        </is>
      </c>
      <c r="H30" s="9" t="inlineStr"/>
      <c r="I30" s="10" t="n">
        <v>1407.5</v>
      </c>
      <c r="J30" s="11">
        <f>IFERROR(INDEX(供应商列表!$F$4:$R$25,MATCH(C30,供应商列表!$A$4:$A$25,0),MATCH(D30,供应商列表!$F$3:$R$3,0)),"")</f>
        <v/>
      </c>
      <c r="K30" s="12">
        <f>IFERROR(ROUND(I30/(1+J30),2),"")</f>
        <v/>
      </c>
      <c r="L30" s="12">
        <f>IFERROR(I30-K30,"")</f>
        <v/>
      </c>
      <c r="M30" s="8">
        <f>IFERROR(INDEX(供应商列表!$B$4:$B$25,MATCH(C30,供应商列表!$A$4:$A$25,0)),"")</f>
        <v/>
      </c>
      <c r="N30" s="13">
        <f>"计提"&amp;M30&amp;(MID(A30,6,2)*1)&amp;"月"&amp;IFERROR(INDEX(供应商列表!$E$4:$E$25,MATCH(C30,供应商列表!$A$4:$A$25,0)),"线下")&amp;IF(F30&lt;&gt;"",F30,IF(OR(E30="—",E30=""),"",E30))&amp;IFERROR(INDEX('费用归属表（快照）'!$F$4:$F$16,MATCH(D30,'费用归属表（快照）'!$A$4:$A$16,0)),"")</f>
        <v/>
      </c>
      <c r="O30" s="14" t="n"/>
      <c r="P30" s="15" t="n"/>
      <c r="Q30" s="12">
        <f>IF(P30="","",P30-I30)</f>
        <v/>
      </c>
      <c r="R30" s="16" t="n"/>
      <c r="S30" s="16" t="n"/>
      <c r="T30" s="17">
        <f>IF(D30="","",IFERROR(INDEX('费用归属表（快照）'!$C$4:$C$16,MATCH(D30,'费用归属表（快照）'!$A$4:$A$16,0)),""))</f>
        <v/>
      </c>
      <c r="U30" s="17">
        <f>IF(D30="","",IF(AND(D30="销售出库费用",B30="深圳星期九"),"永续供应中心 0010401",IF(AND(D30="原料入库费用",E30="小料"),"茶饮小料部 0030902",IFERROR(INDEX('费用归属表（快照）'!$D$4:$D$16,MATCH(D30,'费用归属表（快照）'!$A$4:$A$16,0)),""))))</f>
        <v/>
      </c>
      <c r="V30" s="17">
        <f>IF(D30="","",IFERROR(INDEX('费用归属表（快照）'!$B$4:$B$16,MATCH(D30,'费用归属表（快照）'!$A$4:$A$16,0)),""))</f>
        <v/>
      </c>
      <c r="W30" s="18">
        <f>IF(OR(E30="",AND(LEFT(T30,4)&lt;&gt;"6601",LEFT(T30,4)&lt;&gt;"6401")),"",IFERROR(IF(INDEX(选项!$I$2:$I$11,MATCH(E30,选项!$H$2:$H$11,0))="","",INDEX(选项!$I$2:$I$11,MATCH(E30,选项!$H$2:$H$11,0))),""))</f>
        <v/>
      </c>
      <c r="X30" s="18">
        <f>IF(OR(E30="",AND(LEFT(T30,4)&lt;&gt;"6601",LEFT(T30,4)&lt;&gt;"6401")),"",IFERROR(IF(INDEX(选项!$J$2:$J$11,MATCH(E30,选项!$H$2:$H$11,0))="","",INDEX(选项!$J$2:$J$11,MATCH(E30,选项!$H$2:$H$11,0))),""))</f>
        <v/>
      </c>
    </row>
    <row r="31">
      <c r="A31" s="8" t="inlineStr">
        <is>
          <t>2026-07</t>
        </is>
      </c>
      <c r="B31" s="9" t="inlineStr">
        <is>
          <t>深圳星期零</t>
        </is>
      </c>
      <c r="C31" s="9" t="inlineStr">
        <is>
          <t>路凯（13%）</t>
        </is>
      </c>
      <c r="D31" s="9" t="inlineStr">
        <is>
          <t>销售出库费用</t>
        </is>
      </c>
      <c r="E31" s="9" t="inlineStr">
        <is>
          <t>山姆零售</t>
        </is>
      </c>
      <c r="F31" s="9" t="inlineStr"/>
      <c r="G31" s="9" t="inlineStr">
        <is>
          <t>月结</t>
        </is>
      </c>
      <c r="H31" s="9" t="inlineStr"/>
      <c r="I31" s="10" t="n">
        <v>3265.31</v>
      </c>
      <c r="J31" s="11">
        <f>IFERROR(INDEX(供应商列表!$F$4:$R$25,MATCH(C31,供应商列表!$A$4:$A$25,0),MATCH(D31,供应商列表!$F$3:$R$3,0)),"")</f>
        <v/>
      </c>
      <c r="K31" s="12">
        <f>IFERROR(ROUND(I31/(1+J31),2),"")</f>
        <v/>
      </c>
      <c r="L31" s="12">
        <f>IFERROR(I31-K31,"")</f>
        <v/>
      </c>
      <c r="M31" s="8">
        <f>IFERROR(INDEX(供应商列表!$B$4:$B$25,MATCH(C31,供应商列表!$A$4:$A$25,0)),"")</f>
        <v/>
      </c>
      <c r="N31" s="13">
        <f>"计提"&amp;M31&amp;(MID(A31,6,2)*1)&amp;"月"&amp;IFERROR(INDEX(供应商列表!$E$4:$E$25,MATCH(C31,供应商列表!$A$4:$A$25,0)),"线下")&amp;IF(F31&lt;&gt;"",F31,IF(OR(E31="—",E31=""),"",E31))&amp;IFERROR(INDEX('费用归属表（快照）'!$F$4:$F$16,MATCH(D31,'费用归属表（快照）'!$A$4:$A$16,0)),"")</f>
        <v/>
      </c>
      <c r="O31" s="14" t="n"/>
      <c r="P31" s="15" t="n"/>
      <c r="Q31" s="12">
        <f>IF(P31="","",P31-I31)</f>
        <v/>
      </c>
      <c r="R31" s="16" t="n"/>
      <c r="S31" s="16" t="n"/>
      <c r="T31" s="17">
        <f>IF(D31="","",IFERROR(INDEX('费用归属表（快照）'!$C$4:$C$16,MATCH(D31,'费用归属表（快照）'!$A$4:$A$16,0)),""))</f>
        <v/>
      </c>
      <c r="U31" s="17">
        <f>IF(D31="","",IF(AND(D31="销售出库费用",B31="深圳星期九"),"永续供应中心 0010401",IF(AND(D31="原料入库费用",E31="小料"),"茶饮小料部 0030902",IFERROR(INDEX('费用归属表（快照）'!$D$4:$D$16,MATCH(D31,'费用归属表（快照）'!$A$4:$A$16,0)),""))))</f>
        <v/>
      </c>
      <c r="V31" s="17">
        <f>IF(D31="","",IFERROR(INDEX('费用归属表（快照）'!$B$4:$B$16,MATCH(D31,'费用归属表（快照）'!$A$4:$A$16,0)),""))</f>
        <v/>
      </c>
      <c r="W31" s="18">
        <f>IF(OR(E31="",AND(LEFT(T31,4)&lt;&gt;"6601",LEFT(T31,4)&lt;&gt;"6401")),"",IFERROR(IF(INDEX(选项!$I$2:$I$11,MATCH(E31,选项!$H$2:$H$11,0))="","",INDEX(选项!$I$2:$I$11,MATCH(E31,选项!$H$2:$H$11,0))),""))</f>
        <v/>
      </c>
      <c r="X31" s="18">
        <f>IF(OR(E31="",AND(LEFT(T31,4)&lt;&gt;"6601",LEFT(T31,4)&lt;&gt;"6401")),"",IFERROR(IF(INDEX(选项!$J$2:$J$11,MATCH(E31,选项!$H$2:$H$11,0))="","",INDEX(选项!$J$2:$J$11,MATCH(E31,选项!$H$2:$H$11,0))),""))</f>
        <v/>
      </c>
    </row>
    <row r="32">
      <c r="A32" s="8" t="inlineStr">
        <is>
          <t>2026-07</t>
        </is>
      </c>
      <c r="B32" s="9" t="inlineStr">
        <is>
          <t>深圳星期零</t>
        </is>
      </c>
      <c r="C32" s="9" t="inlineStr">
        <is>
          <t>中通快运</t>
        </is>
      </c>
      <c r="D32" s="9" t="inlineStr">
        <is>
          <t>销售出库费用</t>
        </is>
      </c>
      <c r="E32" s="9" t="inlineStr">
        <is>
          <t>植物肉</t>
        </is>
      </c>
      <c r="F32" s="9" t="inlineStr"/>
      <c r="G32" s="9" t="inlineStr">
        <is>
          <t>月结</t>
        </is>
      </c>
      <c r="H32" s="9" t="inlineStr"/>
      <c r="I32" s="10" t="n">
        <v>208.6</v>
      </c>
      <c r="J32" s="11">
        <f>IFERROR(INDEX(供应商列表!$F$4:$R$25,MATCH(C32,供应商列表!$A$4:$A$25,0),MATCH(D32,供应商列表!$F$3:$R$3,0)),"")</f>
        <v/>
      </c>
      <c r="K32" s="12">
        <f>IFERROR(ROUND(I32/(1+J32),2),"")</f>
        <v/>
      </c>
      <c r="L32" s="12">
        <f>IFERROR(I32-K32,"")</f>
        <v/>
      </c>
      <c r="M32" s="8">
        <f>IFERROR(INDEX(供应商列表!$B$4:$B$25,MATCH(C32,供应商列表!$A$4:$A$25,0)),"")</f>
        <v/>
      </c>
      <c r="N32" s="13">
        <f>"计提"&amp;M32&amp;(MID(A32,6,2)*1)&amp;"月"&amp;IFERROR(INDEX(供应商列表!$E$4:$E$25,MATCH(C32,供应商列表!$A$4:$A$25,0)),"线下")&amp;IF(F32&lt;&gt;"",F32,IF(OR(E32="—",E32=""),"",E32))&amp;IFERROR(INDEX('费用归属表（快照）'!$F$4:$F$16,MATCH(D32,'费用归属表（快照）'!$A$4:$A$16,0)),"")</f>
        <v/>
      </c>
      <c r="O32" s="14" t="n"/>
      <c r="P32" s="15" t="n"/>
      <c r="Q32" s="12">
        <f>IF(P32="","",P32-I32)</f>
        <v/>
      </c>
      <c r="R32" s="16" t="n"/>
      <c r="S32" s="16" t="n"/>
      <c r="T32" s="17">
        <f>IF(D32="","",IFERROR(INDEX('费用归属表（快照）'!$C$4:$C$16,MATCH(D32,'费用归属表（快照）'!$A$4:$A$16,0)),""))</f>
        <v/>
      </c>
      <c r="U32" s="17">
        <f>IF(D32="","",IF(AND(D32="销售出库费用",B32="深圳星期九"),"永续供应中心 0010401",IF(AND(D32="原料入库费用",E32="小料"),"茶饮小料部 0030902",IFERROR(INDEX('费用归属表（快照）'!$D$4:$D$16,MATCH(D32,'费用归属表（快照）'!$A$4:$A$16,0)),""))))</f>
        <v/>
      </c>
      <c r="V32" s="17">
        <f>IF(D32="","",IFERROR(INDEX('费用归属表（快照）'!$B$4:$B$16,MATCH(D32,'费用归属表（快照）'!$A$4:$A$16,0)),""))</f>
        <v/>
      </c>
      <c r="W32" s="18">
        <f>IF(OR(E32="",AND(LEFT(T32,4)&lt;&gt;"6601",LEFT(T32,4)&lt;&gt;"6401")),"",IFERROR(IF(INDEX(选项!$I$2:$I$11,MATCH(E32,选项!$H$2:$H$11,0))="","",INDEX(选项!$I$2:$I$11,MATCH(E32,选项!$H$2:$H$11,0))),""))</f>
        <v/>
      </c>
      <c r="X32" s="18">
        <f>IF(OR(E32="",AND(LEFT(T32,4)&lt;&gt;"6601",LEFT(T32,4)&lt;&gt;"6401")),"",IFERROR(IF(INDEX(选项!$J$2:$J$11,MATCH(E32,选项!$H$2:$H$11,0))="","",INDEX(选项!$J$2:$J$11,MATCH(E32,选项!$H$2:$H$11,0))),""))</f>
        <v/>
      </c>
    </row>
    <row r="33">
      <c r="A33" s="8" t="inlineStr">
        <is>
          <t>2026-07</t>
        </is>
      </c>
      <c r="B33" s="9" t="inlineStr">
        <is>
          <t>深圳星期零</t>
        </is>
      </c>
      <c r="C33" s="9" t="inlineStr">
        <is>
          <t>中通快运</t>
        </is>
      </c>
      <c r="D33" s="9" t="inlineStr">
        <is>
          <t>销售出库费用</t>
        </is>
      </c>
      <c r="E33" s="9" t="inlineStr">
        <is>
          <t>山姆零售</t>
        </is>
      </c>
      <c r="F33" s="9" t="inlineStr"/>
      <c r="G33" s="9" t="inlineStr">
        <is>
          <t>月结</t>
        </is>
      </c>
      <c r="H33" s="9" t="inlineStr"/>
      <c r="I33" s="10" t="n">
        <v>26.25</v>
      </c>
      <c r="J33" s="11">
        <f>IFERROR(INDEX(供应商列表!$F$4:$R$25,MATCH(C33,供应商列表!$A$4:$A$25,0),MATCH(D33,供应商列表!$F$3:$R$3,0)),"")</f>
        <v/>
      </c>
      <c r="K33" s="12">
        <f>IFERROR(ROUND(I33/(1+J33),2),"")</f>
        <v/>
      </c>
      <c r="L33" s="12">
        <f>IFERROR(I33-K33,"")</f>
        <v/>
      </c>
      <c r="M33" s="8">
        <f>IFERROR(INDEX(供应商列表!$B$4:$B$25,MATCH(C33,供应商列表!$A$4:$A$25,0)),"")</f>
        <v/>
      </c>
      <c r="N33" s="13">
        <f>"计提"&amp;M33&amp;(MID(A33,6,2)*1)&amp;"月"&amp;IFERROR(INDEX(供应商列表!$E$4:$E$25,MATCH(C33,供应商列表!$A$4:$A$25,0)),"线下")&amp;IF(F33&lt;&gt;"",F33,IF(OR(E33="—",E33=""),"",E33))&amp;IFERROR(INDEX('费用归属表（快照）'!$F$4:$F$16,MATCH(D33,'费用归属表（快照）'!$A$4:$A$16,0)),"")</f>
        <v/>
      </c>
      <c r="O33" s="14" t="n"/>
      <c r="P33" s="15" t="n"/>
      <c r="Q33" s="12">
        <f>IF(P33="","",P33-I33)</f>
        <v/>
      </c>
      <c r="R33" s="16" t="n"/>
      <c r="S33" s="16" t="n"/>
      <c r="T33" s="17">
        <f>IF(D33="","",IFERROR(INDEX('费用归属表（快照）'!$C$4:$C$16,MATCH(D33,'费用归属表（快照）'!$A$4:$A$16,0)),""))</f>
        <v/>
      </c>
      <c r="U33" s="17">
        <f>IF(D33="","",IF(AND(D33="销售出库费用",B33="深圳星期九"),"永续供应中心 0010401",IF(AND(D33="原料入库费用",E33="小料"),"茶饮小料部 0030902",IFERROR(INDEX('费用归属表（快照）'!$D$4:$D$16,MATCH(D33,'费用归属表（快照）'!$A$4:$A$16,0)),""))))</f>
        <v/>
      </c>
      <c r="V33" s="17">
        <f>IF(D33="","",IFERROR(INDEX('费用归属表（快照）'!$B$4:$B$16,MATCH(D33,'费用归属表（快照）'!$A$4:$A$16,0)),""))</f>
        <v/>
      </c>
      <c r="W33" s="18">
        <f>IF(OR(E33="",AND(LEFT(T33,4)&lt;&gt;"6601",LEFT(T33,4)&lt;&gt;"6401")),"",IFERROR(IF(INDEX(选项!$I$2:$I$11,MATCH(E33,选项!$H$2:$H$11,0))="","",INDEX(选项!$I$2:$I$11,MATCH(E33,选项!$H$2:$H$11,0))),""))</f>
        <v/>
      </c>
      <c r="X33" s="18">
        <f>IF(OR(E33="",AND(LEFT(T33,4)&lt;&gt;"6601",LEFT(T33,4)&lt;&gt;"6401")),"",IFERROR(IF(INDEX(选项!$J$2:$J$11,MATCH(E33,选项!$H$2:$H$11,0))="","",INDEX(选项!$J$2:$J$11,MATCH(E33,选项!$H$2:$H$11,0))),""))</f>
        <v/>
      </c>
    </row>
    <row r="34">
      <c r="A34" s="8" t="inlineStr">
        <is>
          <t>2026-07</t>
        </is>
      </c>
      <c r="B34" s="9" t="inlineStr">
        <is>
          <t>深圳星期零</t>
        </is>
      </c>
      <c r="C34" s="9" t="inlineStr">
        <is>
          <t>中通快运</t>
        </is>
      </c>
      <c r="D34" s="9" t="inlineStr">
        <is>
          <t>销售出库费用</t>
        </is>
      </c>
      <c r="E34" s="9" t="inlineStr">
        <is>
          <t>零售</t>
        </is>
      </c>
      <c r="F34" s="9" t="inlineStr"/>
      <c r="G34" s="9" t="inlineStr">
        <is>
          <t>月结</t>
        </is>
      </c>
      <c r="H34" s="9" t="inlineStr"/>
      <c r="I34" s="10" t="n">
        <v>21</v>
      </c>
      <c r="J34" s="11">
        <f>IFERROR(INDEX(供应商列表!$F$4:$R$25,MATCH(C34,供应商列表!$A$4:$A$25,0),MATCH(D34,供应商列表!$F$3:$R$3,0)),"")</f>
        <v/>
      </c>
      <c r="K34" s="12">
        <f>IFERROR(ROUND(I34/(1+J34),2),"")</f>
        <v/>
      </c>
      <c r="L34" s="12">
        <f>IFERROR(I34-K34,"")</f>
        <v/>
      </c>
      <c r="M34" s="8">
        <f>IFERROR(INDEX(供应商列表!$B$4:$B$25,MATCH(C34,供应商列表!$A$4:$A$25,0)),"")</f>
        <v/>
      </c>
      <c r="N34" s="13">
        <f>"计提"&amp;M34&amp;(MID(A34,6,2)*1)&amp;"月"&amp;IFERROR(INDEX(供应商列表!$E$4:$E$25,MATCH(C34,供应商列表!$A$4:$A$25,0)),"线下")&amp;IF(F34&lt;&gt;"",F34,IF(OR(E34="—",E34=""),"",E34))&amp;IFERROR(INDEX('费用归属表（快照）'!$F$4:$F$16,MATCH(D34,'费用归属表（快照）'!$A$4:$A$16,0)),"")</f>
        <v/>
      </c>
      <c r="O34" s="14" t="n"/>
      <c r="P34" s="15" t="n"/>
      <c r="Q34" s="12">
        <f>IF(P34="","",P34-I34)</f>
        <v/>
      </c>
      <c r="R34" s="16" t="n"/>
      <c r="S34" s="16" t="n"/>
      <c r="T34" s="17">
        <f>IF(D34="","",IFERROR(INDEX('费用归属表（快照）'!$C$4:$C$16,MATCH(D34,'费用归属表（快照）'!$A$4:$A$16,0)),""))</f>
        <v/>
      </c>
      <c r="U34" s="17">
        <f>IF(D34="","",IF(AND(D34="销售出库费用",B34="深圳星期九"),"永续供应中心 0010401",IF(AND(D34="原料入库费用",E34="小料"),"茶饮小料部 0030902",IFERROR(INDEX('费用归属表（快照）'!$D$4:$D$16,MATCH(D34,'费用归属表（快照）'!$A$4:$A$16,0)),""))))</f>
        <v/>
      </c>
      <c r="V34" s="17">
        <f>IF(D34="","",IFERROR(INDEX('费用归属表（快照）'!$B$4:$B$16,MATCH(D34,'费用归属表（快照）'!$A$4:$A$16,0)),""))</f>
        <v/>
      </c>
      <c r="W34" s="18">
        <f>IF(OR(E34="",AND(LEFT(T34,4)&lt;&gt;"6601",LEFT(T34,4)&lt;&gt;"6401")),"",IFERROR(IF(INDEX(选项!$I$2:$I$11,MATCH(E34,选项!$H$2:$H$11,0))="","",INDEX(选项!$I$2:$I$11,MATCH(E34,选项!$H$2:$H$11,0))),""))</f>
        <v/>
      </c>
      <c r="X34" s="18">
        <f>IF(OR(E34="",AND(LEFT(T34,4)&lt;&gt;"6601",LEFT(T34,4)&lt;&gt;"6401")),"",IFERROR(IF(INDEX(选项!$J$2:$J$11,MATCH(E34,选项!$H$2:$H$11,0))="","",INDEX(选项!$J$2:$J$11,MATCH(E34,选项!$H$2:$H$11,0))),""))</f>
        <v/>
      </c>
    </row>
    <row r="35">
      <c r="A35" s="8" t="inlineStr">
        <is>
          <t>2026-07</t>
        </is>
      </c>
      <c r="B35" s="9" t="inlineStr">
        <is>
          <t>深圳星期零</t>
        </is>
      </c>
      <c r="C35" s="9" t="inlineStr">
        <is>
          <t>中通快运</t>
        </is>
      </c>
      <c r="D35" s="9" t="inlineStr">
        <is>
          <t>研发设备采购</t>
        </is>
      </c>
      <c r="E35" s="9" t="inlineStr">
        <is>
          <t>—</t>
        </is>
      </c>
      <c r="F35" s="9" t="inlineStr"/>
      <c r="G35" s="9" t="inlineStr">
        <is>
          <t>月结</t>
        </is>
      </c>
      <c r="H35" s="9" t="inlineStr"/>
      <c r="I35" s="10" t="n">
        <v>207.1</v>
      </c>
      <c r="J35" s="11">
        <f>IFERROR(INDEX(供应商列表!$F$4:$R$25,MATCH(C35,供应商列表!$A$4:$A$25,0),MATCH(D35,供应商列表!$F$3:$R$3,0)),"")</f>
        <v/>
      </c>
      <c r="K35" s="12">
        <f>IFERROR(ROUND(I35/(1+J35),2),"")</f>
        <v/>
      </c>
      <c r="L35" s="12">
        <f>IFERROR(I35-K35,"")</f>
        <v/>
      </c>
      <c r="M35" s="8">
        <f>IFERROR(INDEX(供应商列表!$B$4:$B$25,MATCH(C35,供应商列表!$A$4:$A$25,0)),"")</f>
        <v/>
      </c>
      <c r="N35" s="13">
        <f>"计提"&amp;M35&amp;(MID(A35,6,2)*1)&amp;"月"&amp;IFERROR(INDEX(供应商列表!$E$4:$E$25,MATCH(C35,供应商列表!$A$4:$A$25,0)),"线下")&amp;IF(F35&lt;&gt;"",F35,IF(OR(E35="—",E35=""),"",E35))&amp;IFERROR(INDEX('费用归属表（快照）'!$F$4:$F$16,MATCH(D35,'费用归属表（快照）'!$A$4:$A$16,0)),"")</f>
        <v/>
      </c>
      <c r="O35" s="14" t="n"/>
      <c r="P35" s="15" t="n"/>
      <c r="Q35" s="12">
        <f>IF(P35="","",P35-I35)</f>
        <v/>
      </c>
      <c r="R35" s="16" t="n"/>
      <c r="S35" s="16" t="n"/>
      <c r="T35" s="17">
        <f>IF(D35="","",IFERROR(INDEX('费用归属表（快照）'!$C$4:$C$16,MATCH(D35,'费用归属表（快照）'!$A$4:$A$16,0)),""))</f>
        <v/>
      </c>
      <c r="U35" s="17">
        <f>IF(D35="","",IF(AND(D35="销售出库费用",B35="深圳星期九"),"永续供应中心 0010401",IF(AND(D35="原料入库费用",E35="小料"),"茶饮小料部 0030902",IFERROR(INDEX('费用归属表（快照）'!$D$4:$D$16,MATCH(D35,'费用归属表（快照）'!$A$4:$A$16,0)),""))))</f>
        <v/>
      </c>
      <c r="V35" s="17">
        <f>IF(D35="","",IFERROR(INDEX('费用归属表（快照）'!$B$4:$B$16,MATCH(D35,'费用归属表（快照）'!$A$4:$A$16,0)),""))</f>
        <v/>
      </c>
      <c r="W35" s="18">
        <f>IF(OR(E35="",AND(LEFT(T35,4)&lt;&gt;"6601",LEFT(T35,4)&lt;&gt;"6401")),"",IFERROR(IF(INDEX(选项!$I$2:$I$11,MATCH(E35,选项!$H$2:$H$11,0))="","",INDEX(选项!$I$2:$I$11,MATCH(E35,选项!$H$2:$H$11,0))),""))</f>
        <v/>
      </c>
      <c r="X35" s="18">
        <f>IF(OR(E35="",AND(LEFT(T35,4)&lt;&gt;"6601",LEFT(T35,4)&lt;&gt;"6401")),"",IFERROR(IF(INDEX(选项!$J$2:$J$11,MATCH(E35,选项!$H$2:$H$11,0))="","",INDEX(选项!$J$2:$J$11,MATCH(E35,选项!$H$2:$H$11,0))),""))</f>
        <v/>
      </c>
    </row>
    <row r="36">
      <c r="A36" s="8" t="inlineStr">
        <is>
          <t>2026-07</t>
        </is>
      </c>
      <c r="B36" s="9" t="inlineStr">
        <is>
          <t>深圳星期零</t>
        </is>
      </c>
      <c r="C36" s="9" t="inlineStr">
        <is>
          <t>极鲜达</t>
        </is>
      </c>
      <c r="D36" s="9" t="inlineStr">
        <is>
          <t>销售出库费用</t>
        </is>
      </c>
      <c r="E36" s="9" t="inlineStr">
        <is>
          <t>植物肉</t>
        </is>
      </c>
      <c r="F36" s="9" t="inlineStr"/>
      <c r="G36" s="9" t="inlineStr">
        <is>
          <t>月结</t>
        </is>
      </c>
      <c r="H36" s="9" t="inlineStr"/>
      <c r="I36" s="10" t="n">
        <v>13607.96</v>
      </c>
      <c r="J36" s="11">
        <f>IFERROR(INDEX(供应商列表!$F$4:$R$25,MATCH(C36,供应商列表!$A$4:$A$25,0),MATCH(D36,供应商列表!$F$3:$R$3,0)),"")</f>
        <v/>
      </c>
      <c r="K36" s="12">
        <f>IFERROR(ROUND(I36/(1+J36),2),"")</f>
        <v/>
      </c>
      <c r="L36" s="12">
        <f>IFERROR(I36-K36,"")</f>
        <v/>
      </c>
      <c r="M36" s="8">
        <f>IFERROR(INDEX(供应商列表!$B$4:$B$25,MATCH(C36,供应商列表!$A$4:$A$25,0)),"")</f>
        <v/>
      </c>
      <c r="N36" s="13">
        <f>"计提"&amp;M36&amp;(MID(A36,6,2)*1)&amp;"月"&amp;IFERROR(INDEX(供应商列表!$E$4:$E$25,MATCH(C36,供应商列表!$A$4:$A$25,0)),"线下")&amp;IF(F36&lt;&gt;"",F36,IF(OR(E36="—",E36=""),"",E36))&amp;IFERROR(INDEX('费用归属表（快照）'!$F$4:$F$16,MATCH(D36,'费用归属表（快照）'!$A$4:$A$16,0)),"")</f>
        <v/>
      </c>
      <c r="O36" s="14" t="n"/>
      <c r="P36" s="15" t="n"/>
      <c r="Q36" s="12">
        <f>IF(P36="","",P36-I36)</f>
        <v/>
      </c>
      <c r="R36" s="16" t="n"/>
      <c r="S36" s="16" t="n"/>
      <c r="T36" s="17">
        <f>IF(D36="","",IFERROR(INDEX('费用归属表（快照）'!$C$4:$C$16,MATCH(D36,'费用归属表（快照）'!$A$4:$A$16,0)),""))</f>
        <v/>
      </c>
      <c r="U36" s="17">
        <f>IF(D36="","",IF(AND(D36="销售出库费用",B36="深圳星期九"),"永续供应中心 0010401",IF(AND(D36="原料入库费用",E36="小料"),"茶饮小料部 0030902",IFERROR(INDEX('费用归属表（快照）'!$D$4:$D$16,MATCH(D36,'费用归属表（快照）'!$A$4:$A$16,0)),""))))</f>
        <v/>
      </c>
      <c r="V36" s="17">
        <f>IF(D36="","",IFERROR(INDEX('费用归属表（快照）'!$B$4:$B$16,MATCH(D36,'费用归属表（快照）'!$A$4:$A$16,0)),""))</f>
        <v/>
      </c>
      <c r="W36" s="18">
        <f>IF(OR(E36="",AND(LEFT(T36,4)&lt;&gt;"6601",LEFT(T36,4)&lt;&gt;"6401")),"",IFERROR(IF(INDEX(选项!$I$2:$I$11,MATCH(E36,选项!$H$2:$H$11,0))="","",INDEX(选项!$I$2:$I$11,MATCH(E36,选项!$H$2:$H$11,0))),""))</f>
        <v/>
      </c>
      <c r="X36" s="18">
        <f>IF(OR(E36="",AND(LEFT(T36,4)&lt;&gt;"6601",LEFT(T36,4)&lt;&gt;"6401")),"",IFERROR(IF(INDEX(选项!$J$2:$J$11,MATCH(E36,选项!$H$2:$H$11,0))="","",INDEX(选项!$J$2:$J$11,MATCH(E36,选项!$H$2:$H$11,0))),""))</f>
        <v/>
      </c>
    </row>
    <row r="37">
      <c r="A37" s="8" t="inlineStr">
        <is>
          <t>2026-07</t>
        </is>
      </c>
      <c r="B37" s="9" t="inlineStr">
        <is>
          <t>深圳星期零</t>
        </is>
      </c>
      <c r="C37" s="9" t="inlineStr">
        <is>
          <t>极鲜达</t>
        </is>
      </c>
      <c r="D37" s="9" t="inlineStr">
        <is>
          <t>销售出库费用</t>
        </is>
      </c>
      <c r="E37" s="9" t="inlineStr">
        <is>
          <t>山姆零售</t>
        </is>
      </c>
      <c r="F37" s="9" t="inlineStr"/>
      <c r="G37" s="9" t="inlineStr">
        <is>
          <t>月结</t>
        </is>
      </c>
      <c r="H37" s="9" t="inlineStr"/>
      <c r="I37" s="10" t="n">
        <v>118762.7</v>
      </c>
      <c r="J37" s="11">
        <f>IFERROR(INDEX(供应商列表!$F$4:$R$25,MATCH(C37,供应商列表!$A$4:$A$25,0),MATCH(D37,供应商列表!$F$3:$R$3,0)),"")</f>
        <v/>
      </c>
      <c r="K37" s="12">
        <f>IFERROR(ROUND(I37/(1+J37),2),"")</f>
        <v/>
      </c>
      <c r="L37" s="12">
        <f>IFERROR(I37-K37,"")</f>
        <v/>
      </c>
      <c r="M37" s="8">
        <f>IFERROR(INDEX(供应商列表!$B$4:$B$25,MATCH(C37,供应商列表!$A$4:$A$25,0)),"")</f>
        <v/>
      </c>
      <c r="N37" s="13">
        <f>"计提"&amp;M37&amp;(MID(A37,6,2)*1)&amp;"月"&amp;IFERROR(INDEX(供应商列表!$E$4:$E$25,MATCH(C37,供应商列表!$A$4:$A$25,0)),"线下")&amp;IF(F37&lt;&gt;"",F37,IF(OR(E37="—",E37=""),"",E37))&amp;IFERROR(INDEX('费用归属表（快照）'!$F$4:$F$16,MATCH(D37,'费用归属表（快照）'!$A$4:$A$16,0)),"")</f>
        <v/>
      </c>
      <c r="O37" s="14" t="n"/>
      <c r="P37" s="15" t="n"/>
      <c r="Q37" s="12">
        <f>IF(P37="","",P37-I37)</f>
        <v/>
      </c>
      <c r="R37" s="16" t="n"/>
      <c r="S37" s="16" t="n"/>
      <c r="T37" s="17">
        <f>IF(D37="","",IFERROR(INDEX('费用归属表（快照）'!$C$4:$C$16,MATCH(D37,'费用归属表（快照）'!$A$4:$A$16,0)),""))</f>
        <v/>
      </c>
      <c r="U37" s="17">
        <f>IF(D37="","",IF(AND(D37="销售出库费用",B37="深圳星期九"),"永续供应中心 0010401",IF(AND(D37="原料入库费用",E37="小料"),"茶饮小料部 0030902",IFERROR(INDEX('费用归属表（快照）'!$D$4:$D$16,MATCH(D37,'费用归属表（快照）'!$A$4:$A$16,0)),""))))</f>
        <v/>
      </c>
      <c r="V37" s="17">
        <f>IF(D37="","",IFERROR(INDEX('费用归属表（快照）'!$B$4:$B$16,MATCH(D37,'费用归属表（快照）'!$A$4:$A$16,0)),""))</f>
        <v/>
      </c>
      <c r="W37" s="18">
        <f>IF(OR(E37="",AND(LEFT(T37,4)&lt;&gt;"6601",LEFT(T37,4)&lt;&gt;"6401")),"",IFERROR(IF(INDEX(选项!$I$2:$I$11,MATCH(E37,选项!$H$2:$H$11,0))="","",INDEX(选项!$I$2:$I$11,MATCH(E37,选项!$H$2:$H$11,0))),""))</f>
        <v/>
      </c>
      <c r="X37" s="18">
        <f>IF(OR(E37="",AND(LEFT(T37,4)&lt;&gt;"6601",LEFT(T37,4)&lt;&gt;"6401")),"",IFERROR(IF(INDEX(选项!$J$2:$J$11,MATCH(E37,选项!$H$2:$H$11,0))="","",INDEX(选项!$J$2:$J$11,MATCH(E37,选项!$H$2:$H$11,0))),""))</f>
        <v/>
      </c>
    </row>
    <row r="38">
      <c r="A38" s="8" t="inlineStr">
        <is>
          <t>2026-07</t>
        </is>
      </c>
      <c r="B38" s="9" t="inlineStr">
        <is>
          <t>深圳星期零</t>
        </is>
      </c>
      <c r="C38" s="9" t="inlineStr">
        <is>
          <t>极鲜达</t>
        </is>
      </c>
      <c r="D38" s="9" t="inlineStr">
        <is>
          <t>销售出库费用</t>
        </is>
      </c>
      <c r="E38" s="9" t="inlineStr">
        <is>
          <t>豆蛋制品</t>
        </is>
      </c>
      <c r="F38" s="9" t="inlineStr"/>
      <c r="G38" s="9" t="inlineStr">
        <is>
          <t>月结</t>
        </is>
      </c>
      <c r="H38" s="9" t="inlineStr"/>
      <c r="I38" s="10" t="n">
        <v>12814.27</v>
      </c>
      <c r="J38" s="11">
        <f>IFERROR(INDEX(供应商列表!$F$4:$R$25,MATCH(C38,供应商列表!$A$4:$A$25,0),MATCH(D38,供应商列表!$F$3:$R$3,0)),"")</f>
        <v/>
      </c>
      <c r="K38" s="12">
        <f>IFERROR(ROUND(I38/(1+J38),2),"")</f>
        <v/>
      </c>
      <c r="L38" s="12">
        <f>IFERROR(I38-K38,"")</f>
        <v/>
      </c>
      <c r="M38" s="8">
        <f>IFERROR(INDEX(供应商列表!$B$4:$B$25,MATCH(C38,供应商列表!$A$4:$A$25,0)),"")</f>
        <v/>
      </c>
      <c r="N38" s="13">
        <f>"计提"&amp;M38&amp;(MID(A38,6,2)*1)&amp;"月"&amp;IFERROR(INDEX(供应商列表!$E$4:$E$25,MATCH(C38,供应商列表!$A$4:$A$25,0)),"线下")&amp;IF(F38&lt;&gt;"",F38,IF(OR(E38="—",E38=""),"",E38))&amp;IFERROR(INDEX('费用归属表（快照）'!$F$4:$F$16,MATCH(D38,'费用归属表（快照）'!$A$4:$A$16,0)),"")</f>
        <v/>
      </c>
      <c r="O38" s="14" t="n"/>
      <c r="P38" s="15" t="n"/>
      <c r="Q38" s="12">
        <f>IF(P38="","",P38-I38)</f>
        <v/>
      </c>
      <c r="R38" s="16" t="n"/>
      <c r="S38" s="16" t="n"/>
      <c r="T38" s="17">
        <f>IF(D38="","",IFERROR(INDEX('费用归属表（快照）'!$C$4:$C$16,MATCH(D38,'费用归属表（快照）'!$A$4:$A$16,0)),""))</f>
        <v/>
      </c>
      <c r="U38" s="17">
        <f>IF(D38="","",IF(AND(D38="销售出库费用",B38="深圳星期九"),"永续供应中心 0010401",IF(AND(D38="原料入库费用",E38="小料"),"茶饮小料部 0030902",IFERROR(INDEX('费用归属表（快照）'!$D$4:$D$16,MATCH(D38,'费用归属表（快照）'!$A$4:$A$16,0)),""))))</f>
        <v/>
      </c>
      <c r="V38" s="17">
        <f>IF(D38="","",IFERROR(INDEX('费用归属表（快照）'!$B$4:$B$16,MATCH(D38,'费用归属表（快照）'!$A$4:$A$16,0)),""))</f>
        <v/>
      </c>
      <c r="W38" s="18">
        <f>IF(OR(E38="",AND(LEFT(T38,4)&lt;&gt;"6601",LEFT(T38,4)&lt;&gt;"6401")),"",IFERROR(IF(INDEX(选项!$I$2:$I$11,MATCH(E38,选项!$H$2:$H$11,0))="","",INDEX(选项!$I$2:$I$11,MATCH(E38,选项!$H$2:$H$11,0))),""))</f>
        <v/>
      </c>
      <c r="X38" s="18">
        <f>IF(OR(E38="",AND(LEFT(T38,4)&lt;&gt;"6601",LEFT(T38,4)&lt;&gt;"6401")),"",IFERROR(IF(INDEX(选项!$J$2:$J$11,MATCH(E38,选项!$H$2:$H$11,0))="","",INDEX(选项!$J$2:$J$11,MATCH(E38,选项!$H$2:$H$11,0))),""))</f>
        <v/>
      </c>
    </row>
    <row r="39">
      <c r="A39" s="8" t="inlineStr">
        <is>
          <t>2026-07</t>
        </is>
      </c>
      <c r="B39" s="9" t="inlineStr">
        <is>
          <t>深圳星期零</t>
        </is>
      </c>
      <c r="C39" s="9" t="inlineStr">
        <is>
          <t>极鲜达</t>
        </is>
      </c>
      <c r="D39" s="9" t="inlineStr">
        <is>
          <t>销售出库费用</t>
        </is>
      </c>
      <c r="E39" s="9" t="inlineStr">
        <is>
          <t>零售</t>
        </is>
      </c>
      <c r="F39" s="9" t="inlineStr"/>
      <c r="G39" s="9" t="inlineStr">
        <is>
          <t>月结</t>
        </is>
      </c>
      <c r="H39" s="9" t="inlineStr"/>
      <c r="I39" s="10" t="n">
        <v>12088.75</v>
      </c>
      <c r="J39" s="11">
        <f>IFERROR(INDEX(供应商列表!$F$4:$R$25,MATCH(C39,供应商列表!$A$4:$A$25,0),MATCH(D39,供应商列表!$F$3:$R$3,0)),"")</f>
        <v/>
      </c>
      <c r="K39" s="12">
        <f>IFERROR(ROUND(I39/(1+J39),2),"")</f>
        <v/>
      </c>
      <c r="L39" s="12">
        <f>IFERROR(I39-K39,"")</f>
        <v/>
      </c>
      <c r="M39" s="8">
        <f>IFERROR(INDEX(供应商列表!$B$4:$B$25,MATCH(C39,供应商列表!$A$4:$A$25,0)),"")</f>
        <v/>
      </c>
      <c r="N39" s="13">
        <f>"计提"&amp;M39&amp;(MID(A39,6,2)*1)&amp;"月"&amp;IFERROR(INDEX(供应商列表!$E$4:$E$25,MATCH(C39,供应商列表!$A$4:$A$25,0)),"线下")&amp;IF(F39&lt;&gt;"",F39,IF(OR(E39="—",E39=""),"",E39))&amp;IFERROR(INDEX('费用归属表（快照）'!$F$4:$F$16,MATCH(D39,'费用归属表（快照）'!$A$4:$A$16,0)),"")</f>
        <v/>
      </c>
      <c r="O39" s="14" t="n"/>
      <c r="P39" s="15" t="n"/>
      <c r="Q39" s="12">
        <f>IF(P39="","",P39-I39)</f>
        <v/>
      </c>
      <c r="R39" s="16" t="n"/>
      <c r="S39" s="16" t="n"/>
      <c r="T39" s="17">
        <f>IF(D39="","",IFERROR(INDEX('费用归属表（快照）'!$C$4:$C$16,MATCH(D39,'费用归属表（快照）'!$A$4:$A$16,0)),""))</f>
        <v/>
      </c>
      <c r="U39" s="17">
        <f>IF(D39="","",IF(AND(D39="销售出库费用",B39="深圳星期九"),"永续供应中心 0010401",IF(AND(D39="原料入库费用",E39="小料"),"茶饮小料部 0030902",IFERROR(INDEX('费用归属表（快照）'!$D$4:$D$16,MATCH(D39,'费用归属表（快照）'!$A$4:$A$16,0)),""))))</f>
        <v/>
      </c>
      <c r="V39" s="17">
        <f>IF(D39="","",IFERROR(INDEX('费用归属表（快照）'!$B$4:$B$16,MATCH(D39,'费用归属表（快照）'!$A$4:$A$16,0)),""))</f>
        <v/>
      </c>
      <c r="W39" s="18">
        <f>IF(OR(E39="",AND(LEFT(T39,4)&lt;&gt;"6601",LEFT(T39,4)&lt;&gt;"6401")),"",IFERROR(IF(INDEX(选项!$I$2:$I$11,MATCH(E39,选项!$H$2:$H$11,0))="","",INDEX(选项!$I$2:$I$11,MATCH(E39,选项!$H$2:$H$11,0))),""))</f>
        <v/>
      </c>
      <c r="X39" s="18">
        <f>IF(OR(E39="",AND(LEFT(T39,4)&lt;&gt;"6601",LEFT(T39,4)&lt;&gt;"6401")),"",IFERROR(IF(INDEX(选项!$J$2:$J$11,MATCH(E39,选项!$H$2:$H$11,0))="","",INDEX(选项!$J$2:$J$11,MATCH(E39,选项!$H$2:$H$11,0))),""))</f>
        <v/>
      </c>
    </row>
    <row r="40">
      <c r="A40" s="8" t="inlineStr">
        <is>
          <t>2026-07</t>
        </is>
      </c>
      <c r="B40" s="9" t="inlineStr">
        <is>
          <t>深圳星期零</t>
        </is>
      </c>
      <c r="C40" s="9" t="inlineStr">
        <is>
          <t>极鲜达</t>
        </is>
      </c>
      <c r="D40" s="9" t="inlineStr">
        <is>
          <t>销售出库费用</t>
        </is>
      </c>
      <c r="E40" s="9" t="inlineStr">
        <is>
          <t>小料</t>
        </is>
      </c>
      <c r="F40" s="9" t="inlineStr"/>
      <c r="G40" s="9" t="inlineStr">
        <is>
          <t>月结</t>
        </is>
      </c>
      <c r="H40" s="9" t="inlineStr"/>
      <c r="I40" s="10" t="n">
        <v>18086.67</v>
      </c>
      <c r="J40" s="11">
        <f>IFERROR(INDEX(供应商列表!$F$4:$R$25,MATCH(C40,供应商列表!$A$4:$A$25,0),MATCH(D40,供应商列表!$F$3:$R$3,0)),"")</f>
        <v/>
      </c>
      <c r="K40" s="12">
        <f>IFERROR(ROUND(I40/(1+J40),2),"")</f>
        <v/>
      </c>
      <c r="L40" s="12">
        <f>IFERROR(I40-K40,"")</f>
        <v/>
      </c>
      <c r="M40" s="8">
        <f>IFERROR(INDEX(供应商列表!$B$4:$B$25,MATCH(C40,供应商列表!$A$4:$A$25,0)),"")</f>
        <v/>
      </c>
      <c r="N40" s="13">
        <f>"计提"&amp;M40&amp;(MID(A40,6,2)*1)&amp;"月"&amp;IFERROR(INDEX(供应商列表!$E$4:$E$25,MATCH(C40,供应商列表!$A$4:$A$25,0)),"线下")&amp;IF(F40&lt;&gt;"",F40,IF(OR(E40="—",E40=""),"",E40))&amp;IFERROR(INDEX('费用归属表（快照）'!$F$4:$F$16,MATCH(D40,'费用归属表（快照）'!$A$4:$A$16,0)),"")</f>
        <v/>
      </c>
      <c r="O40" s="14" t="n"/>
      <c r="P40" s="15" t="n"/>
      <c r="Q40" s="12">
        <f>IF(P40="","",P40-I40)</f>
        <v/>
      </c>
      <c r="R40" s="16" t="n"/>
      <c r="S40" s="16" t="n"/>
      <c r="T40" s="17">
        <f>IF(D40="","",IFERROR(INDEX('费用归属表（快照）'!$C$4:$C$16,MATCH(D40,'费用归属表（快照）'!$A$4:$A$16,0)),""))</f>
        <v/>
      </c>
      <c r="U40" s="17">
        <f>IF(D40="","",IF(AND(D40="销售出库费用",B40="深圳星期九"),"永续供应中心 0010401",IF(AND(D40="原料入库费用",E40="小料"),"茶饮小料部 0030902",IFERROR(INDEX('费用归属表（快照）'!$D$4:$D$16,MATCH(D40,'费用归属表（快照）'!$A$4:$A$16,0)),""))))</f>
        <v/>
      </c>
      <c r="V40" s="17">
        <f>IF(D40="","",IFERROR(INDEX('费用归属表（快照）'!$B$4:$B$16,MATCH(D40,'费用归属表（快照）'!$A$4:$A$16,0)),""))</f>
        <v/>
      </c>
      <c r="W40" s="18">
        <f>IF(OR(E40="",AND(LEFT(T40,4)&lt;&gt;"6601",LEFT(T40,4)&lt;&gt;"6401")),"",IFERROR(IF(INDEX(选项!$I$2:$I$11,MATCH(E40,选项!$H$2:$H$11,0))="","",INDEX(选项!$I$2:$I$11,MATCH(E40,选项!$H$2:$H$11,0))),""))</f>
        <v/>
      </c>
      <c r="X40" s="18">
        <f>IF(OR(E40="",AND(LEFT(T40,4)&lt;&gt;"6601",LEFT(T40,4)&lt;&gt;"6401")),"",IFERROR(IF(INDEX(选项!$J$2:$J$11,MATCH(E40,选项!$H$2:$H$11,0))="","",INDEX(选项!$J$2:$J$11,MATCH(E40,选项!$H$2:$H$11,0))),""))</f>
        <v/>
      </c>
    </row>
    <row r="41">
      <c r="A41" s="8" t="inlineStr">
        <is>
          <t>2026-07</t>
        </is>
      </c>
      <c r="B41" s="9" t="inlineStr">
        <is>
          <t>深圳星期零</t>
        </is>
      </c>
      <c r="C41" s="9" t="inlineStr">
        <is>
          <t>极鲜达</t>
        </is>
      </c>
      <c r="D41" s="9" t="inlineStr">
        <is>
          <t>研发设备采购</t>
        </is>
      </c>
      <c r="E41" s="9" t="inlineStr">
        <is>
          <t>—</t>
        </is>
      </c>
      <c r="F41" s="9" t="inlineStr"/>
      <c r="G41" s="9" t="inlineStr">
        <is>
          <t>月结</t>
        </is>
      </c>
      <c r="H41" s="9" t="inlineStr"/>
      <c r="I41" s="10" t="n">
        <v>595</v>
      </c>
      <c r="J41" s="11">
        <f>IFERROR(INDEX(供应商列表!$F$4:$R$25,MATCH(C41,供应商列表!$A$4:$A$25,0),MATCH(D41,供应商列表!$F$3:$R$3,0)),"")</f>
        <v/>
      </c>
      <c r="K41" s="12">
        <f>IFERROR(ROUND(I41/(1+J41),2),"")</f>
        <v/>
      </c>
      <c r="L41" s="12">
        <f>IFERROR(I41-K41,"")</f>
        <v/>
      </c>
      <c r="M41" s="8">
        <f>IFERROR(INDEX(供应商列表!$B$4:$B$25,MATCH(C41,供应商列表!$A$4:$A$25,0)),"")</f>
        <v/>
      </c>
      <c r="N41" s="13">
        <f>"计提"&amp;M41&amp;(MID(A41,6,2)*1)&amp;"月"&amp;IFERROR(INDEX(供应商列表!$E$4:$E$25,MATCH(C41,供应商列表!$A$4:$A$25,0)),"线下")&amp;IF(F41&lt;&gt;"",F41,IF(OR(E41="—",E41=""),"",E41))&amp;IFERROR(INDEX('费用归属表（快照）'!$F$4:$F$16,MATCH(D41,'费用归属表（快照）'!$A$4:$A$16,0)),"")</f>
        <v/>
      </c>
      <c r="O41" s="14" t="n"/>
      <c r="P41" s="15" t="n"/>
      <c r="Q41" s="12">
        <f>IF(P41="","",P41-I41)</f>
        <v/>
      </c>
      <c r="R41" s="16" t="n"/>
      <c r="S41" s="16" t="n"/>
      <c r="T41" s="17">
        <f>IF(D41="","",IFERROR(INDEX('费用归属表（快照）'!$C$4:$C$16,MATCH(D41,'费用归属表（快照）'!$A$4:$A$16,0)),""))</f>
        <v/>
      </c>
      <c r="U41" s="17">
        <f>IF(D41="","",IF(AND(D41="销售出库费用",B41="深圳星期九"),"永续供应中心 0010401",IF(AND(D41="原料入库费用",E41="小料"),"茶饮小料部 0030902",IFERROR(INDEX('费用归属表（快照）'!$D$4:$D$16,MATCH(D41,'费用归属表（快照）'!$A$4:$A$16,0)),""))))</f>
        <v/>
      </c>
      <c r="V41" s="17">
        <f>IF(D41="","",IFERROR(INDEX('费用归属表（快照）'!$B$4:$B$16,MATCH(D41,'费用归属表（快照）'!$A$4:$A$16,0)),""))</f>
        <v/>
      </c>
      <c r="W41" s="18">
        <f>IF(OR(E41="",AND(LEFT(T41,4)&lt;&gt;"6601",LEFT(T41,4)&lt;&gt;"6401")),"",IFERROR(IF(INDEX(选项!$I$2:$I$11,MATCH(E41,选项!$H$2:$H$11,0))="","",INDEX(选项!$I$2:$I$11,MATCH(E41,选项!$H$2:$H$11,0))),""))</f>
        <v/>
      </c>
      <c r="X41" s="18">
        <f>IF(OR(E41="",AND(LEFT(T41,4)&lt;&gt;"6601",LEFT(T41,4)&lt;&gt;"6401")),"",IFERROR(IF(INDEX(选项!$J$2:$J$11,MATCH(E41,选项!$H$2:$H$11,0))="","",INDEX(选项!$J$2:$J$11,MATCH(E41,选项!$H$2:$H$11,0))),""))</f>
        <v/>
      </c>
    </row>
    <row r="42">
      <c r="A42" s="8" t="inlineStr">
        <is>
          <t>2026-07</t>
        </is>
      </c>
      <c r="B42" s="9" t="inlineStr">
        <is>
          <t>深圳星期零</t>
        </is>
      </c>
      <c r="C42" s="9" t="inlineStr">
        <is>
          <t>极鲜达</t>
        </is>
      </c>
      <c r="D42" s="9" t="inlineStr">
        <is>
          <t>成品入库费用</t>
        </is>
      </c>
      <c r="E42" s="9" t="inlineStr">
        <is>
          <t>—</t>
        </is>
      </c>
      <c r="F42" s="9" t="inlineStr">
        <is>
          <t>代工厂</t>
        </is>
      </c>
      <c r="G42" s="9" t="inlineStr">
        <is>
          <t>月结</t>
        </is>
      </c>
      <c r="H42" s="9" t="inlineStr"/>
      <c r="I42" s="10" t="n">
        <v>1526.51</v>
      </c>
      <c r="J42" s="11">
        <f>IFERROR(INDEX(供应商列表!$F$4:$R$25,MATCH(C42,供应商列表!$A$4:$A$25,0),MATCH(D42,供应商列表!$F$3:$R$3,0)),"")</f>
        <v/>
      </c>
      <c r="K42" s="12">
        <f>IFERROR(ROUND(I42/(1+J42),2),"")</f>
        <v/>
      </c>
      <c r="L42" s="12">
        <f>IFERROR(I42-K42,"")</f>
        <v/>
      </c>
      <c r="M42" s="8">
        <f>IFERROR(INDEX(供应商列表!$B$4:$B$25,MATCH(C42,供应商列表!$A$4:$A$25,0)),"")</f>
        <v/>
      </c>
      <c r="N42" s="13">
        <f>"计提"&amp;M42&amp;(MID(A42,6,2)*1)&amp;"月"&amp;IFERROR(INDEX(供应商列表!$E$4:$E$25,MATCH(C42,供应商列表!$A$4:$A$25,0)),"线下")&amp;IF(F42&lt;&gt;"",F42,IF(OR(E42="—",E42=""),"",E42))&amp;IFERROR(INDEX('费用归属表（快照）'!$F$4:$F$16,MATCH(D42,'费用归属表（快照）'!$A$4:$A$16,0)),"")</f>
        <v/>
      </c>
      <c r="O42" s="14" t="n"/>
      <c r="P42" s="15" t="n"/>
      <c r="Q42" s="12">
        <f>IF(P42="","",P42-I42)</f>
        <v/>
      </c>
      <c r="R42" s="16" t="n"/>
      <c r="S42" s="16" t="n"/>
      <c r="T42" s="17">
        <f>IF(D42="","",IFERROR(INDEX('费用归属表（快照）'!$C$4:$C$16,MATCH(D42,'费用归属表（快照）'!$A$4:$A$16,0)),""))</f>
        <v/>
      </c>
      <c r="U42" s="17">
        <f>IF(D42="","",IF(AND(D42="销售出库费用",B42="深圳星期九"),"永续供应中心 0010401",IF(AND(D42="原料入库费用",E42="小料"),"茶饮小料部 0030902",IFERROR(INDEX('费用归属表（快照）'!$D$4:$D$16,MATCH(D42,'费用归属表（快照）'!$A$4:$A$16,0)),""))))</f>
        <v/>
      </c>
      <c r="V42" s="17">
        <f>IF(D42="","",IFERROR(INDEX('费用归属表（快照）'!$B$4:$B$16,MATCH(D42,'费用归属表（快照）'!$A$4:$A$16,0)),""))</f>
        <v/>
      </c>
      <c r="W42" s="18">
        <f>IF(OR(E42="",AND(LEFT(T42,4)&lt;&gt;"6601",LEFT(T42,4)&lt;&gt;"6401")),"",IFERROR(IF(INDEX(选项!$I$2:$I$11,MATCH(E42,选项!$H$2:$H$11,0))="","",INDEX(选项!$I$2:$I$11,MATCH(E42,选项!$H$2:$H$11,0))),""))</f>
        <v/>
      </c>
      <c r="X42" s="18">
        <f>IF(OR(E42="",AND(LEFT(T42,4)&lt;&gt;"6601",LEFT(T42,4)&lt;&gt;"6401")),"",IFERROR(IF(INDEX(选项!$J$2:$J$11,MATCH(E42,选项!$H$2:$H$11,0))="","",INDEX(选项!$J$2:$J$11,MATCH(E42,选项!$H$2:$H$11,0))),""))</f>
        <v/>
      </c>
    </row>
    <row r="43">
      <c r="A43" s="8" t="inlineStr">
        <is>
          <t>2026-07</t>
        </is>
      </c>
      <c r="B43" s="9" t="inlineStr">
        <is>
          <t>深圳星期零</t>
        </is>
      </c>
      <c r="C43" s="9" t="inlineStr">
        <is>
          <t>极鲜达</t>
        </is>
      </c>
      <c r="D43" s="9" t="inlineStr">
        <is>
          <t>原料入库费用</t>
        </is>
      </c>
      <c r="E43" s="9" t="inlineStr">
        <is>
          <t>—</t>
        </is>
      </c>
      <c r="F43" s="9" t="inlineStr">
        <is>
          <t>孝感工厂</t>
        </is>
      </c>
      <c r="G43" s="9" t="inlineStr">
        <is>
          <t>月结</t>
        </is>
      </c>
      <c r="H43" s="9" t="inlineStr"/>
      <c r="I43" s="10" t="n">
        <v>4860</v>
      </c>
      <c r="J43" s="11">
        <f>IFERROR(INDEX(供应商列表!$F$4:$R$25,MATCH(C43,供应商列表!$A$4:$A$25,0),MATCH(D43,供应商列表!$F$3:$R$3,0)),"")</f>
        <v/>
      </c>
      <c r="K43" s="12">
        <f>IFERROR(ROUND(I43/(1+J43),2),"")</f>
        <v/>
      </c>
      <c r="L43" s="12">
        <f>IFERROR(I43-K43,"")</f>
        <v/>
      </c>
      <c r="M43" s="8">
        <f>IFERROR(INDEX(供应商列表!$B$4:$B$25,MATCH(C43,供应商列表!$A$4:$A$25,0)),"")</f>
        <v/>
      </c>
      <c r="N43" s="13">
        <f>"计提"&amp;M43&amp;(MID(A43,6,2)*1)&amp;"月"&amp;IFERROR(INDEX(供应商列表!$E$4:$E$25,MATCH(C43,供应商列表!$A$4:$A$25,0)),"线下")&amp;IF(F43&lt;&gt;"",F43,IF(OR(E43="—",E43=""),"",E43))&amp;IFERROR(INDEX('费用归属表（快照）'!$F$4:$F$16,MATCH(D43,'费用归属表（快照）'!$A$4:$A$16,0)),"")</f>
        <v/>
      </c>
      <c r="O43" s="14" t="n"/>
      <c r="P43" s="15" t="n"/>
      <c r="Q43" s="12">
        <f>IF(P43="","",P43-I43)</f>
        <v/>
      </c>
      <c r="R43" s="16" t="n"/>
      <c r="S43" s="16" t="n"/>
      <c r="T43" s="17">
        <f>IF(D43="","",IFERROR(INDEX('费用归属表（快照）'!$C$4:$C$16,MATCH(D43,'费用归属表（快照）'!$A$4:$A$16,0)),""))</f>
        <v/>
      </c>
      <c r="U43" s="17">
        <f>IF(D43="","",IF(AND(D43="销售出库费用",B43="深圳星期九"),"永续供应中心 0010401",IF(AND(D43="原料入库费用",E43="小料"),"茶饮小料部 0030902",IFERROR(INDEX('费用归属表（快照）'!$D$4:$D$16,MATCH(D43,'费用归属表（快照）'!$A$4:$A$16,0)),""))))</f>
        <v/>
      </c>
      <c r="V43" s="17">
        <f>IF(D43="","",IFERROR(INDEX('费用归属表（快照）'!$B$4:$B$16,MATCH(D43,'费用归属表（快照）'!$A$4:$A$16,0)),""))</f>
        <v/>
      </c>
      <c r="W43" s="18">
        <f>IF(OR(E43="",AND(LEFT(T43,4)&lt;&gt;"6601",LEFT(T43,4)&lt;&gt;"6401")),"",IFERROR(IF(INDEX(选项!$I$2:$I$11,MATCH(E43,选项!$H$2:$H$11,0))="","",INDEX(选项!$I$2:$I$11,MATCH(E43,选项!$H$2:$H$11,0))),""))</f>
        <v/>
      </c>
      <c r="X43" s="18">
        <f>IF(OR(E43="",AND(LEFT(T43,4)&lt;&gt;"6601",LEFT(T43,4)&lt;&gt;"6401")),"",IFERROR(IF(INDEX(选项!$J$2:$J$11,MATCH(E43,选项!$H$2:$H$11,0))="","",INDEX(选项!$J$2:$J$11,MATCH(E43,选项!$H$2:$H$11,0))),""))</f>
        <v/>
      </c>
    </row>
    <row r="44">
      <c r="A44" s="8" t="inlineStr">
        <is>
          <t>2026-07</t>
        </is>
      </c>
      <c r="B44" s="9" t="inlineStr">
        <is>
          <t>深圳星期零</t>
        </is>
      </c>
      <c r="C44" s="9" t="inlineStr">
        <is>
          <t>极鲜达</t>
        </is>
      </c>
      <c r="D44" s="9" t="inlineStr">
        <is>
          <t>原料入库费用</t>
        </is>
      </c>
      <c r="E44" s="9" t="inlineStr">
        <is>
          <t>小料</t>
        </is>
      </c>
      <c r="F44" s="9" t="inlineStr">
        <is>
          <t>小料</t>
        </is>
      </c>
      <c r="G44" s="9" t="inlineStr">
        <is>
          <t>月结</t>
        </is>
      </c>
      <c r="H44" s="9" t="inlineStr"/>
      <c r="I44" s="10" t="n">
        <v>1750</v>
      </c>
      <c r="J44" s="11">
        <f>IFERROR(INDEX(供应商列表!$F$4:$R$25,MATCH(C44,供应商列表!$A$4:$A$25,0),MATCH(D44,供应商列表!$F$3:$R$3,0)),"")</f>
        <v/>
      </c>
      <c r="K44" s="12">
        <f>IFERROR(ROUND(I44/(1+J44),2),"")</f>
        <v/>
      </c>
      <c r="L44" s="12">
        <f>IFERROR(I44-K44,"")</f>
        <v/>
      </c>
      <c r="M44" s="8">
        <f>IFERROR(INDEX(供应商列表!$B$4:$B$25,MATCH(C44,供应商列表!$A$4:$A$25,0)),"")</f>
        <v/>
      </c>
      <c r="N44" s="13">
        <f>"计提"&amp;M44&amp;(MID(A44,6,2)*1)&amp;"月"&amp;IFERROR(INDEX(供应商列表!$E$4:$E$25,MATCH(C44,供应商列表!$A$4:$A$25,0)),"线下")&amp;IF(F44&lt;&gt;"",F44,IF(OR(E44="—",E44=""),"",E44))&amp;IFERROR(INDEX('费用归属表（快照）'!$F$4:$F$16,MATCH(D44,'费用归属表（快照）'!$A$4:$A$16,0)),"")</f>
        <v/>
      </c>
      <c r="O44" s="14" t="n"/>
      <c r="P44" s="15" t="n"/>
      <c r="Q44" s="12">
        <f>IF(P44="","",P44-I44)</f>
        <v/>
      </c>
      <c r="R44" s="16" t="n"/>
      <c r="S44" s="16" t="n"/>
      <c r="T44" s="17">
        <f>IF(D44="","",IFERROR(INDEX('费用归属表（快照）'!$C$4:$C$16,MATCH(D44,'费用归属表（快照）'!$A$4:$A$16,0)),""))</f>
        <v/>
      </c>
      <c r="U44" s="17">
        <f>IF(D44="","",IF(AND(D44="销售出库费用",B44="深圳星期九"),"永续供应中心 0010401",IF(AND(D44="原料入库费用",E44="小料"),"茶饮小料部 0030902",IFERROR(INDEX('费用归属表（快照）'!$D$4:$D$16,MATCH(D44,'费用归属表（快照）'!$A$4:$A$16,0)),""))))</f>
        <v/>
      </c>
      <c r="V44" s="17">
        <f>IF(D44="","",IFERROR(INDEX('费用归属表（快照）'!$B$4:$B$16,MATCH(D44,'费用归属表（快照）'!$A$4:$A$16,0)),""))</f>
        <v/>
      </c>
      <c r="W44" s="18">
        <f>IF(OR(E44="",AND(LEFT(T44,4)&lt;&gt;"6601",LEFT(T44,4)&lt;&gt;"6401")),"",IFERROR(IF(INDEX(选项!$I$2:$I$11,MATCH(E44,选项!$H$2:$H$11,0))="","",INDEX(选项!$I$2:$I$11,MATCH(E44,选项!$H$2:$H$11,0))),""))</f>
        <v/>
      </c>
      <c r="X44" s="18">
        <f>IF(OR(E44="",AND(LEFT(T44,4)&lt;&gt;"6601",LEFT(T44,4)&lt;&gt;"6401")),"",IFERROR(IF(INDEX(选项!$J$2:$J$11,MATCH(E44,选项!$H$2:$H$11,0))="","",INDEX(选项!$J$2:$J$11,MATCH(E44,选项!$H$2:$H$11,0))),""))</f>
        <v/>
      </c>
    </row>
    <row r="45">
      <c r="A45" s="8" t="inlineStr">
        <is>
          <t>2026-07</t>
        </is>
      </c>
      <c r="B45" s="9" t="inlineStr">
        <is>
          <t>深圳星期零</t>
        </is>
      </c>
      <c r="C45" s="9" t="inlineStr">
        <is>
          <t>极鲜达</t>
        </is>
      </c>
      <c r="D45" s="9" t="inlineStr">
        <is>
          <t>成品仓储费用</t>
        </is>
      </c>
      <c r="E45" s="9" t="inlineStr">
        <is>
          <t>—</t>
        </is>
      </c>
      <c r="F45" s="9" t="inlineStr"/>
      <c r="G45" s="9" t="inlineStr">
        <is>
          <t>月结</t>
        </is>
      </c>
      <c r="H45" s="9" t="inlineStr"/>
      <c r="I45" s="10" t="n">
        <v>16670</v>
      </c>
      <c r="J45" s="11">
        <f>IFERROR(INDEX(供应商列表!$F$4:$R$25,MATCH(C45,供应商列表!$A$4:$A$25,0),MATCH(D45,供应商列表!$F$3:$R$3,0)),"")</f>
        <v/>
      </c>
      <c r="K45" s="12">
        <f>IFERROR(ROUND(I45/(1+J45),2),"")</f>
        <v/>
      </c>
      <c r="L45" s="12">
        <f>IFERROR(I45-K45,"")</f>
        <v/>
      </c>
      <c r="M45" s="8">
        <f>IFERROR(INDEX(供应商列表!$B$4:$B$25,MATCH(C45,供应商列表!$A$4:$A$25,0)),"")</f>
        <v/>
      </c>
      <c r="N45" s="13">
        <f>"计提"&amp;M45&amp;(MID(A45,6,2)*1)&amp;"月"&amp;IFERROR(INDEX(供应商列表!$E$4:$E$25,MATCH(C45,供应商列表!$A$4:$A$25,0)),"线下")&amp;IF(F45&lt;&gt;"",F45,IF(OR(E45="—",E45=""),"",E45))&amp;IFERROR(INDEX('费用归属表（快照）'!$F$4:$F$16,MATCH(D45,'费用归属表（快照）'!$A$4:$A$16,0)),"")</f>
        <v/>
      </c>
      <c r="O45" s="14" t="n"/>
      <c r="P45" s="15" t="n"/>
      <c r="Q45" s="12">
        <f>IF(P45="","",P45-I45)</f>
        <v/>
      </c>
      <c r="R45" s="16" t="n"/>
      <c r="S45" s="16" t="n"/>
      <c r="T45" s="17">
        <f>IF(D45="","",IFERROR(INDEX('费用归属表（快照）'!$C$4:$C$16,MATCH(D45,'费用归属表（快照）'!$A$4:$A$16,0)),""))</f>
        <v/>
      </c>
      <c r="U45" s="17">
        <f>IF(D45="","",IF(AND(D45="销售出库费用",B45="深圳星期九"),"永续供应中心 0010401",IF(AND(D45="原料入库费用",E45="小料"),"茶饮小料部 0030902",IFERROR(INDEX('费用归属表（快照）'!$D$4:$D$16,MATCH(D45,'费用归属表（快照）'!$A$4:$A$16,0)),""))))</f>
        <v/>
      </c>
      <c r="V45" s="17">
        <f>IF(D45="","",IFERROR(INDEX('费用归属表（快照）'!$B$4:$B$16,MATCH(D45,'费用归属表（快照）'!$A$4:$A$16,0)),""))</f>
        <v/>
      </c>
      <c r="W45" s="18">
        <f>IF(OR(E45="",AND(LEFT(T45,4)&lt;&gt;"6601",LEFT(T45,4)&lt;&gt;"6401")),"",IFERROR(IF(INDEX(选项!$I$2:$I$11,MATCH(E45,选项!$H$2:$H$11,0))="","",INDEX(选项!$I$2:$I$11,MATCH(E45,选项!$H$2:$H$11,0))),""))</f>
        <v/>
      </c>
      <c r="X45" s="18">
        <f>IF(OR(E45="",AND(LEFT(T45,4)&lt;&gt;"6601",LEFT(T45,4)&lt;&gt;"6401")),"",IFERROR(IF(INDEX(选项!$J$2:$J$11,MATCH(E45,选项!$H$2:$H$11,0))="","",INDEX(选项!$J$2:$J$11,MATCH(E45,选项!$H$2:$H$11,0))),""))</f>
        <v/>
      </c>
    </row>
    <row r="46">
      <c r="A46" s="8" t="inlineStr">
        <is>
          <t>2026-07</t>
        </is>
      </c>
      <c r="B46" s="9" t="inlineStr">
        <is>
          <t>深圳星期零</t>
        </is>
      </c>
      <c r="C46" s="9" t="inlineStr">
        <is>
          <t>极鲜达</t>
        </is>
      </c>
      <c r="D46" s="9" t="inlineStr">
        <is>
          <t>销售出库费用</t>
        </is>
      </c>
      <c r="E46" s="9" t="inlineStr">
        <is>
          <t>小料</t>
        </is>
      </c>
      <c r="F46" s="9" t="inlineStr"/>
      <c r="G46" s="9" t="inlineStr">
        <is>
          <t>月结</t>
        </is>
      </c>
      <c r="H46" s="9" t="inlineStr"/>
      <c r="I46" s="10" t="n">
        <v>1933.55</v>
      </c>
      <c r="J46" s="11">
        <f>IFERROR(INDEX(供应商列表!$F$4:$R$25,MATCH(C46,供应商列表!$A$4:$A$25,0),MATCH(D46,供应商列表!$F$3:$R$3,0)),"")</f>
        <v/>
      </c>
      <c r="K46" s="12">
        <f>IFERROR(ROUND(I46/(1+J46),2),"")</f>
        <v/>
      </c>
      <c r="L46" s="12">
        <f>IFERROR(I46-K46,"")</f>
        <v/>
      </c>
      <c r="M46" s="8">
        <f>IFERROR(INDEX(供应商列表!$B$4:$B$25,MATCH(C46,供应商列表!$A$4:$A$25,0)),"")</f>
        <v/>
      </c>
      <c r="N46" s="13">
        <f>"计提"&amp;M46&amp;(MID(A46,6,2)*1)&amp;"月"&amp;IFERROR(INDEX(供应商列表!$E$4:$E$25,MATCH(C46,供应商列表!$A$4:$A$25,0)),"线下")&amp;IF(F46&lt;&gt;"",F46,IF(OR(E46="—",E46=""),"",E46))&amp;IFERROR(INDEX('费用归属表（快照）'!$F$4:$F$16,MATCH(D46,'费用归属表（快照）'!$A$4:$A$16,0)),"")</f>
        <v/>
      </c>
      <c r="O46" s="14" t="n"/>
      <c r="P46" s="15" t="n"/>
      <c r="Q46" s="12">
        <f>IF(P46="","",P46-I46)</f>
        <v/>
      </c>
      <c r="R46" s="16" t="n"/>
      <c r="S46" s="16" t="n"/>
      <c r="T46" s="17">
        <f>IF(D46="","",IFERROR(INDEX('费用归属表（快照）'!$C$4:$C$16,MATCH(D46,'费用归属表（快照）'!$A$4:$A$16,0)),""))</f>
        <v/>
      </c>
      <c r="U46" s="17">
        <f>IF(D46="","",IF(AND(D46="销售出库费用",B46="深圳星期九"),"永续供应中心 0010401",IF(AND(D46="原料入库费用",E46="小料"),"茶饮小料部 0030902",IFERROR(INDEX('费用归属表（快照）'!$D$4:$D$16,MATCH(D46,'费用归属表（快照）'!$A$4:$A$16,0)),""))))</f>
        <v/>
      </c>
      <c r="V46" s="17">
        <f>IF(D46="","",IFERROR(INDEX('费用归属表（快照）'!$B$4:$B$16,MATCH(D46,'费用归属表（快照）'!$A$4:$A$16,0)),""))</f>
        <v/>
      </c>
      <c r="W46" s="18">
        <f>IF(OR(E46="",AND(LEFT(T46,4)&lt;&gt;"6601",LEFT(T46,4)&lt;&gt;"6401")),"",IFERROR(IF(INDEX(选项!$I$2:$I$11,MATCH(E46,选项!$H$2:$H$11,0))="","",INDEX(选项!$I$2:$I$11,MATCH(E46,选项!$H$2:$H$11,0))),""))</f>
        <v/>
      </c>
      <c r="X46" s="18">
        <f>IF(OR(E46="",AND(LEFT(T46,4)&lt;&gt;"6601",LEFT(T46,4)&lt;&gt;"6401")),"",IFERROR(IF(INDEX(选项!$J$2:$J$11,MATCH(E46,选项!$H$2:$H$11,0))="","",INDEX(选项!$J$2:$J$11,MATCH(E46,选项!$H$2:$H$11,0))),""))</f>
        <v/>
      </c>
    </row>
    <row r="47">
      <c r="A47" s="8" t="inlineStr">
        <is>
          <t>2026-07</t>
        </is>
      </c>
      <c r="B47" s="9" t="inlineStr">
        <is>
          <t>深圳星期零</t>
        </is>
      </c>
      <c r="C47" s="9" t="inlineStr">
        <is>
          <t>丰源</t>
        </is>
      </c>
      <c r="D47" s="9" t="inlineStr">
        <is>
          <t>销售出库费用</t>
        </is>
      </c>
      <c r="E47" s="9" t="inlineStr">
        <is>
          <t>零售</t>
        </is>
      </c>
      <c r="F47" s="9" t="inlineStr"/>
      <c r="G47" s="9" t="inlineStr">
        <is>
          <t>月结</t>
        </is>
      </c>
      <c r="H47" s="9" t="inlineStr"/>
      <c r="I47" s="10" t="n">
        <v>1826.74</v>
      </c>
      <c r="J47" s="11">
        <f>IFERROR(INDEX(供应商列表!$F$4:$R$25,MATCH(C47,供应商列表!$A$4:$A$25,0),MATCH(D47,供应商列表!$F$3:$R$3,0)),"")</f>
        <v/>
      </c>
      <c r="K47" s="12">
        <f>IFERROR(ROUND(I47/(1+J47),2),"")</f>
        <v/>
      </c>
      <c r="L47" s="12">
        <f>IFERROR(I47-K47,"")</f>
        <v/>
      </c>
      <c r="M47" s="8">
        <f>IFERROR(INDEX(供应商列表!$B$4:$B$25,MATCH(C47,供应商列表!$A$4:$A$25,0)),"")</f>
        <v/>
      </c>
      <c r="N47" s="13">
        <f>"计提"&amp;M47&amp;(MID(A47,6,2)*1)&amp;"月"&amp;IFERROR(INDEX(供应商列表!$E$4:$E$25,MATCH(C47,供应商列表!$A$4:$A$25,0)),"线下")&amp;IF(F47&lt;&gt;"",F47,IF(OR(E47="—",E47=""),"",E47))&amp;IFERROR(INDEX('费用归属表（快照）'!$F$4:$F$16,MATCH(D47,'费用归属表（快照）'!$A$4:$A$16,0)),"")</f>
        <v/>
      </c>
      <c r="O47" s="14" t="n"/>
      <c r="P47" s="15" t="n"/>
      <c r="Q47" s="12">
        <f>IF(P47="","",P47-I47)</f>
        <v/>
      </c>
      <c r="R47" s="16" t="n"/>
      <c r="S47" s="16" t="n"/>
      <c r="T47" s="17">
        <f>IF(D47="","",IFERROR(INDEX('费用归属表（快照）'!$C$4:$C$16,MATCH(D47,'费用归属表（快照）'!$A$4:$A$16,0)),""))</f>
        <v/>
      </c>
      <c r="U47" s="17">
        <f>IF(D47="","",IF(AND(D47="销售出库费用",B47="深圳星期九"),"永续供应中心 0010401",IF(AND(D47="原料入库费用",E47="小料"),"茶饮小料部 0030902",IFERROR(INDEX('费用归属表（快照）'!$D$4:$D$16,MATCH(D47,'费用归属表（快照）'!$A$4:$A$16,0)),""))))</f>
        <v/>
      </c>
      <c r="V47" s="17">
        <f>IF(D47="","",IFERROR(INDEX('费用归属表（快照）'!$B$4:$B$16,MATCH(D47,'费用归属表（快照）'!$A$4:$A$16,0)),""))</f>
        <v/>
      </c>
      <c r="W47" s="18">
        <f>IF(OR(E47="",AND(LEFT(T47,4)&lt;&gt;"6601",LEFT(T47,4)&lt;&gt;"6401")),"",IFERROR(IF(INDEX(选项!$I$2:$I$11,MATCH(E47,选项!$H$2:$H$11,0))="","",INDEX(选项!$I$2:$I$11,MATCH(E47,选项!$H$2:$H$11,0))),""))</f>
        <v/>
      </c>
      <c r="X47" s="18">
        <f>IF(OR(E47="",AND(LEFT(T47,4)&lt;&gt;"6601",LEFT(T47,4)&lt;&gt;"6401")),"",IFERROR(IF(INDEX(选项!$J$2:$J$11,MATCH(E47,选项!$H$2:$H$11,0))="","",INDEX(选项!$J$2:$J$11,MATCH(E47,选项!$H$2:$H$11,0))),""))</f>
        <v/>
      </c>
    </row>
    <row r="48">
      <c r="A48" s="8" t="inlineStr">
        <is>
          <t>2026-07</t>
        </is>
      </c>
      <c r="B48" s="9" t="inlineStr">
        <is>
          <t>深圳星期零</t>
        </is>
      </c>
      <c r="C48" s="9" t="inlineStr">
        <is>
          <t>丰源</t>
        </is>
      </c>
      <c r="D48" s="9" t="inlineStr">
        <is>
          <t>原料入库费用</t>
        </is>
      </c>
      <c r="E48" s="9" t="inlineStr">
        <is>
          <t>小料</t>
        </is>
      </c>
      <c r="F48" s="9" t="inlineStr">
        <is>
          <t>小料</t>
        </is>
      </c>
      <c r="G48" s="9" t="inlineStr">
        <is>
          <t>月结</t>
        </is>
      </c>
      <c r="H48" s="9" t="inlineStr"/>
      <c r="I48" s="10" t="n">
        <v>100</v>
      </c>
      <c r="J48" s="11">
        <f>IFERROR(INDEX(供应商列表!$F$4:$R$25,MATCH(C48,供应商列表!$A$4:$A$25,0),MATCH(D48,供应商列表!$F$3:$R$3,0)),"")</f>
        <v/>
      </c>
      <c r="K48" s="12">
        <f>IFERROR(ROUND(I48/(1+J48),2),"")</f>
        <v/>
      </c>
      <c r="L48" s="12">
        <f>IFERROR(I48-K48,"")</f>
        <v/>
      </c>
      <c r="M48" s="8">
        <f>IFERROR(INDEX(供应商列表!$B$4:$B$25,MATCH(C48,供应商列表!$A$4:$A$25,0)),"")</f>
        <v/>
      </c>
      <c r="N48" s="13">
        <f>"计提"&amp;M48&amp;(MID(A48,6,2)*1)&amp;"月"&amp;IFERROR(INDEX(供应商列表!$E$4:$E$25,MATCH(C48,供应商列表!$A$4:$A$25,0)),"线下")&amp;IF(F48&lt;&gt;"",F48,IF(OR(E48="—",E48=""),"",E48))&amp;IFERROR(INDEX('费用归属表（快照）'!$F$4:$F$16,MATCH(D48,'费用归属表（快照）'!$A$4:$A$16,0)),"")</f>
        <v/>
      </c>
      <c r="O48" s="14" t="n"/>
      <c r="P48" s="15" t="n"/>
      <c r="Q48" s="12">
        <f>IF(P48="","",P48-I48)</f>
        <v/>
      </c>
      <c r="R48" s="16" t="n"/>
      <c r="S48" s="16" t="n"/>
      <c r="T48" s="17">
        <f>IF(D48="","",IFERROR(INDEX('费用归属表（快照）'!$C$4:$C$16,MATCH(D48,'费用归属表（快照）'!$A$4:$A$16,0)),""))</f>
        <v/>
      </c>
      <c r="U48" s="17">
        <f>IF(D48="","",IF(AND(D48="销售出库费用",B48="深圳星期九"),"永续供应中心 0010401",IF(AND(D48="原料入库费用",E48="小料"),"茶饮小料部 0030902",IFERROR(INDEX('费用归属表（快照）'!$D$4:$D$16,MATCH(D48,'费用归属表（快照）'!$A$4:$A$16,0)),""))))</f>
        <v/>
      </c>
      <c r="V48" s="17">
        <f>IF(D48="","",IFERROR(INDEX('费用归属表（快照）'!$B$4:$B$16,MATCH(D48,'费用归属表（快照）'!$A$4:$A$16,0)),""))</f>
        <v/>
      </c>
      <c r="W48" s="18">
        <f>IF(OR(E48="",AND(LEFT(T48,4)&lt;&gt;"6601",LEFT(T48,4)&lt;&gt;"6401")),"",IFERROR(IF(INDEX(选项!$I$2:$I$11,MATCH(E48,选项!$H$2:$H$11,0))="","",INDEX(选项!$I$2:$I$11,MATCH(E48,选项!$H$2:$H$11,0))),""))</f>
        <v/>
      </c>
      <c r="X48" s="18">
        <f>IF(OR(E48="",AND(LEFT(T48,4)&lt;&gt;"6601",LEFT(T48,4)&lt;&gt;"6401")),"",IFERROR(IF(INDEX(选项!$J$2:$J$11,MATCH(E48,选项!$H$2:$H$11,0))="","",INDEX(选项!$J$2:$J$11,MATCH(E48,选项!$H$2:$H$11,0))),""))</f>
        <v/>
      </c>
    </row>
    <row r="49">
      <c r="A49" s="8" t="inlineStr">
        <is>
          <t>2026-07</t>
        </is>
      </c>
      <c r="B49" s="9" t="inlineStr">
        <is>
          <t>深圳星期零</t>
        </is>
      </c>
      <c r="C49" s="9" t="inlineStr">
        <is>
          <t>天鹰物流</t>
        </is>
      </c>
      <c r="D49" s="9" t="inlineStr">
        <is>
          <t>销售出库费用</t>
        </is>
      </c>
      <c r="E49" s="9" t="inlineStr">
        <is>
          <t>植物肉</t>
        </is>
      </c>
      <c r="F49" s="9" t="inlineStr"/>
      <c r="G49" s="9" t="inlineStr">
        <is>
          <t>月结</t>
        </is>
      </c>
      <c r="H49" s="9" t="inlineStr"/>
      <c r="I49" s="10" t="n">
        <v>277.87</v>
      </c>
      <c r="J49" s="11">
        <f>IFERROR(INDEX(供应商列表!$F$4:$R$25,MATCH(C49,供应商列表!$A$4:$A$25,0),MATCH(D49,供应商列表!$F$3:$R$3,0)),"")</f>
        <v/>
      </c>
      <c r="K49" s="12">
        <f>IFERROR(ROUND(I49/(1+J49),2),"")</f>
        <v/>
      </c>
      <c r="L49" s="12">
        <f>IFERROR(I49-K49,"")</f>
        <v/>
      </c>
      <c r="M49" s="8">
        <f>IFERROR(INDEX(供应商列表!$B$4:$B$25,MATCH(C49,供应商列表!$A$4:$A$25,0)),"")</f>
        <v/>
      </c>
      <c r="N49" s="13">
        <f>"计提"&amp;M49&amp;(MID(A49,6,2)*1)&amp;"月"&amp;IFERROR(INDEX(供应商列表!$E$4:$E$25,MATCH(C49,供应商列表!$A$4:$A$25,0)),"线下")&amp;IF(F49&lt;&gt;"",F49,IF(OR(E49="—",E49=""),"",E49))&amp;IFERROR(INDEX('费用归属表（快照）'!$F$4:$F$16,MATCH(D49,'费用归属表（快照）'!$A$4:$A$16,0)),"")</f>
        <v/>
      </c>
      <c r="O49" s="14" t="n"/>
      <c r="P49" s="15" t="n"/>
      <c r="Q49" s="12">
        <f>IF(P49="","",P49-I49)</f>
        <v/>
      </c>
      <c r="R49" s="16" t="n"/>
      <c r="S49" s="16" t="n"/>
      <c r="T49" s="17">
        <f>IF(D49="","",IFERROR(INDEX('费用归属表（快照）'!$C$4:$C$16,MATCH(D49,'费用归属表（快照）'!$A$4:$A$16,0)),""))</f>
        <v/>
      </c>
      <c r="U49" s="17">
        <f>IF(D49="","",IF(AND(D49="销售出库费用",B49="深圳星期九"),"永续供应中心 0010401",IF(AND(D49="原料入库费用",E49="小料"),"茶饮小料部 0030902",IFERROR(INDEX('费用归属表（快照）'!$D$4:$D$16,MATCH(D49,'费用归属表（快照）'!$A$4:$A$16,0)),""))))</f>
        <v/>
      </c>
      <c r="V49" s="17">
        <f>IF(D49="","",IFERROR(INDEX('费用归属表（快照）'!$B$4:$B$16,MATCH(D49,'费用归属表（快照）'!$A$4:$A$16,0)),""))</f>
        <v/>
      </c>
      <c r="W49" s="18">
        <f>IF(OR(E49="",AND(LEFT(T49,4)&lt;&gt;"6601",LEFT(T49,4)&lt;&gt;"6401")),"",IFERROR(IF(INDEX(选项!$I$2:$I$11,MATCH(E49,选项!$H$2:$H$11,0))="","",INDEX(选项!$I$2:$I$11,MATCH(E49,选项!$H$2:$H$11,0))),""))</f>
        <v/>
      </c>
      <c r="X49" s="18">
        <f>IF(OR(E49="",AND(LEFT(T49,4)&lt;&gt;"6601",LEFT(T49,4)&lt;&gt;"6401")),"",IFERROR(IF(INDEX(选项!$J$2:$J$11,MATCH(E49,选项!$H$2:$H$11,0))="","",INDEX(选项!$J$2:$J$11,MATCH(E49,选项!$H$2:$H$11,0))),""))</f>
        <v/>
      </c>
    </row>
    <row r="50">
      <c r="A50" s="8" t="inlineStr">
        <is>
          <t>2026-07</t>
        </is>
      </c>
      <c r="B50" s="9" t="inlineStr">
        <is>
          <t>深圳星期零</t>
        </is>
      </c>
      <c r="C50" s="9" t="inlineStr">
        <is>
          <t>天鹰物流</t>
        </is>
      </c>
      <c r="D50" s="9" t="inlineStr">
        <is>
          <t>销售出库费用</t>
        </is>
      </c>
      <c r="E50" s="9" t="inlineStr">
        <is>
          <t>山姆零售</t>
        </is>
      </c>
      <c r="F50" s="9" t="inlineStr"/>
      <c r="G50" s="9" t="inlineStr">
        <is>
          <t>月结</t>
        </is>
      </c>
      <c r="H50" s="9" t="inlineStr"/>
      <c r="I50" s="10" t="n">
        <v>167.43</v>
      </c>
      <c r="J50" s="11">
        <f>IFERROR(INDEX(供应商列表!$F$4:$R$25,MATCH(C50,供应商列表!$A$4:$A$25,0),MATCH(D50,供应商列表!$F$3:$R$3,0)),"")</f>
        <v/>
      </c>
      <c r="K50" s="12">
        <f>IFERROR(ROUND(I50/(1+J50),2),"")</f>
        <v/>
      </c>
      <c r="L50" s="12">
        <f>IFERROR(I50-K50,"")</f>
        <v/>
      </c>
      <c r="M50" s="8">
        <f>IFERROR(INDEX(供应商列表!$B$4:$B$25,MATCH(C50,供应商列表!$A$4:$A$25,0)),"")</f>
        <v/>
      </c>
      <c r="N50" s="13">
        <f>"计提"&amp;M50&amp;(MID(A50,6,2)*1)&amp;"月"&amp;IFERROR(INDEX(供应商列表!$E$4:$E$25,MATCH(C50,供应商列表!$A$4:$A$25,0)),"线下")&amp;IF(F50&lt;&gt;"",F50,IF(OR(E50="—",E50=""),"",E50))&amp;IFERROR(INDEX('费用归属表（快照）'!$F$4:$F$16,MATCH(D50,'费用归属表（快照）'!$A$4:$A$16,0)),"")</f>
        <v/>
      </c>
      <c r="O50" s="14" t="n"/>
      <c r="P50" s="15" t="n"/>
      <c r="Q50" s="12">
        <f>IF(P50="","",P50-I50)</f>
        <v/>
      </c>
      <c r="R50" s="16" t="n"/>
      <c r="S50" s="16" t="n"/>
      <c r="T50" s="17">
        <f>IF(D50="","",IFERROR(INDEX('费用归属表（快照）'!$C$4:$C$16,MATCH(D50,'费用归属表（快照）'!$A$4:$A$16,0)),""))</f>
        <v/>
      </c>
      <c r="U50" s="17">
        <f>IF(D50="","",IF(AND(D50="销售出库费用",B50="深圳星期九"),"永续供应中心 0010401",IF(AND(D50="原料入库费用",E50="小料"),"茶饮小料部 0030902",IFERROR(INDEX('费用归属表（快照）'!$D$4:$D$16,MATCH(D50,'费用归属表（快照）'!$A$4:$A$16,0)),""))))</f>
        <v/>
      </c>
      <c r="V50" s="17">
        <f>IF(D50="","",IFERROR(INDEX('费用归属表（快照）'!$B$4:$B$16,MATCH(D50,'费用归属表（快照）'!$A$4:$A$16,0)),""))</f>
        <v/>
      </c>
      <c r="W50" s="18">
        <f>IF(OR(E50="",AND(LEFT(T50,4)&lt;&gt;"6601",LEFT(T50,4)&lt;&gt;"6401")),"",IFERROR(IF(INDEX(选项!$I$2:$I$11,MATCH(E50,选项!$H$2:$H$11,0))="","",INDEX(选项!$I$2:$I$11,MATCH(E50,选项!$H$2:$H$11,0))),""))</f>
        <v/>
      </c>
      <c r="X50" s="18">
        <f>IF(OR(E50="",AND(LEFT(T50,4)&lt;&gt;"6601",LEFT(T50,4)&lt;&gt;"6401")),"",IFERROR(IF(INDEX(选项!$J$2:$J$11,MATCH(E50,选项!$H$2:$H$11,0))="","",INDEX(选项!$J$2:$J$11,MATCH(E50,选项!$H$2:$H$11,0))),""))</f>
        <v/>
      </c>
    </row>
    <row r="51">
      <c r="A51" s="8" t="inlineStr">
        <is>
          <t>2026-07</t>
        </is>
      </c>
      <c r="B51" s="9" t="inlineStr">
        <is>
          <t>深圳星期零</t>
        </is>
      </c>
      <c r="C51" s="9" t="inlineStr">
        <is>
          <t>天鹰物流</t>
        </is>
      </c>
      <c r="D51" s="9" t="inlineStr">
        <is>
          <t>销售出库费用</t>
        </is>
      </c>
      <c r="E51" s="9" t="inlineStr">
        <is>
          <t>豆蛋制品</t>
        </is>
      </c>
      <c r="F51" s="9" t="inlineStr"/>
      <c r="G51" s="9" t="inlineStr">
        <is>
          <t>月结</t>
        </is>
      </c>
      <c r="H51" s="9" t="inlineStr"/>
      <c r="I51" s="10" t="n">
        <v>234.21</v>
      </c>
      <c r="J51" s="11">
        <f>IFERROR(INDEX(供应商列表!$F$4:$R$25,MATCH(C51,供应商列表!$A$4:$A$25,0),MATCH(D51,供应商列表!$F$3:$R$3,0)),"")</f>
        <v/>
      </c>
      <c r="K51" s="12">
        <f>IFERROR(ROUND(I51/(1+J51),2),"")</f>
        <v/>
      </c>
      <c r="L51" s="12">
        <f>IFERROR(I51-K51,"")</f>
        <v/>
      </c>
      <c r="M51" s="8">
        <f>IFERROR(INDEX(供应商列表!$B$4:$B$25,MATCH(C51,供应商列表!$A$4:$A$25,0)),"")</f>
        <v/>
      </c>
      <c r="N51" s="13">
        <f>"计提"&amp;M51&amp;(MID(A51,6,2)*1)&amp;"月"&amp;IFERROR(INDEX(供应商列表!$E$4:$E$25,MATCH(C51,供应商列表!$A$4:$A$25,0)),"线下")&amp;IF(F51&lt;&gt;"",F51,IF(OR(E51="—",E51=""),"",E51))&amp;IFERROR(INDEX('费用归属表（快照）'!$F$4:$F$16,MATCH(D51,'费用归属表（快照）'!$A$4:$A$16,0)),"")</f>
        <v/>
      </c>
      <c r="O51" s="14" t="n"/>
      <c r="P51" s="15" t="n"/>
      <c r="Q51" s="12">
        <f>IF(P51="","",P51-I51)</f>
        <v/>
      </c>
      <c r="R51" s="16" t="n"/>
      <c r="S51" s="16" t="n"/>
      <c r="T51" s="17">
        <f>IF(D51="","",IFERROR(INDEX('费用归属表（快照）'!$C$4:$C$16,MATCH(D51,'费用归属表（快照）'!$A$4:$A$16,0)),""))</f>
        <v/>
      </c>
      <c r="U51" s="17">
        <f>IF(D51="","",IF(AND(D51="销售出库费用",B51="深圳星期九"),"永续供应中心 0010401",IF(AND(D51="原料入库费用",E51="小料"),"茶饮小料部 0030902",IFERROR(INDEX('费用归属表（快照）'!$D$4:$D$16,MATCH(D51,'费用归属表（快照）'!$A$4:$A$16,0)),""))))</f>
        <v/>
      </c>
      <c r="V51" s="17">
        <f>IF(D51="","",IFERROR(INDEX('费用归属表（快照）'!$B$4:$B$16,MATCH(D51,'费用归属表（快照）'!$A$4:$A$16,0)),""))</f>
        <v/>
      </c>
      <c r="W51" s="18">
        <f>IF(OR(E51="",AND(LEFT(T51,4)&lt;&gt;"6601",LEFT(T51,4)&lt;&gt;"6401")),"",IFERROR(IF(INDEX(选项!$I$2:$I$11,MATCH(E51,选项!$H$2:$H$11,0))="","",INDEX(选项!$I$2:$I$11,MATCH(E51,选项!$H$2:$H$11,0))),""))</f>
        <v/>
      </c>
      <c r="X51" s="18">
        <f>IF(OR(E51="",AND(LEFT(T51,4)&lt;&gt;"6601",LEFT(T51,4)&lt;&gt;"6401")),"",IFERROR(IF(INDEX(选项!$J$2:$J$11,MATCH(E51,选项!$H$2:$H$11,0))="","",INDEX(选项!$J$2:$J$11,MATCH(E51,选项!$H$2:$H$11,0))),""))</f>
        <v/>
      </c>
    </row>
    <row r="52">
      <c r="A52" s="8" t="inlineStr">
        <is>
          <t>2026-07</t>
        </is>
      </c>
      <c r="B52" s="9" t="inlineStr">
        <is>
          <t>深圳星期零</t>
        </is>
      </c>
      <c r="C52" s="9" t="inlineStr">
        <is>
          <t>天鹰物流</t>
        </is>
      </c>
      <c r="D52" s="9" t="inlineStr">
        <is>
          <t>销售出库费用</t>
        </is>
      </c>
      <c r="E52" s="9" t="inlineStr">
        <is>
          <t>零售</t>
        </is>
      </c>
      <c r="F52" s="9" t="inlineStr"/>
      <c r="G52" s="9" t="inlineStr">
        <is>
          <t>月结</t>
        </is>
      </c>
      <c r="H52" s="9" t="inlineStr"/>
      <c r="I52" s="10" t="n">
        <v>89.91</v>
      </c>
      <c r="J52" s="11">
        <f>IFERROR(INDEX(供应商列表!$F$4:$R$25,MATCH(C52,供应商列表!$A$4:$A$25,0),MATCH(D52,供应商列表!$F$3:$R$3,0)),"")</f>
        <v/>
      </c>
      <c r="K52" s="12">
        <f>IFERROR(ROUND(I52/(1+J52),2),"")</f>
        <v/>
      </c>
      <c r="L52" s="12">
        <f>IFERROR(I52-K52,"")</f>
        <v/>
      </c>
      <c r="M52" s="8">
        <f>IFERROR(INDEX(供应商列表!$B$4:$B$25,MATCH(C52,供应商列表!$A$4:$A$25,0)),"")</f>
        <v/>
      </c>
      <c r="N52" s="13">
        <f>"计提"&amp;M52&amp;(MID(A52,6,2)*1)&amp;"月"&amp;IFERROR(INDEX(供应商列表!$E$4:$E$25,MATCH(C52,供应商列表!$A$4:$A$25,0)),"线下")&amp;IF(F52&lt;&gt;"",F52,IF(OR(E52="—",E52=""),"",E52))&amp;IFERROR(INDEX('费用归属表（快照）'!$F$4:$F$16,MATCH(D52,'费用归属表（快照）'!$A$4:$A$16,0)),"")</f>
        <v/>
      </c>
      <c r="O52" s="14" t="n"/>
      <c r="P52" s="15" t="n"/>
      <c r="Q52" s="12">
        <f>IF(P52="","",P52-I52)</f>
        <v/>
      </c>
      <c r="R52" s="16" t="n"/>
      <c r="S52" s="16" t="n"/>
      <c r="T52" s="17">
        <f>IF(D52="","",IFERROR(INDEX('费用归属表（快照）'!$C$4:$C$16,MATCH(D52,'费用归属表（快照）'!$A$4:$A$16,0)),""))</f>
        <v/>
      </c>
      <c r="U52" s="17">
        <f>IF(D52="","",IF(AND(D52="销售出库费用",B52="深圳星期九"),"永续供应中心 0010401",IF(AND(D52="原料入库费用",E52="小料"),"茶饮小料部 0030902",IFERROR(INDEX('费用归属表（快照）'!$D$4:$D$16,MATCH(D52,'费用归属表（快照）'!$A$4:$A$16,0)),""))))</f>
        <v/>
      </c>
      <c r="V52" s="17">
        <f>IF(D52="","",IFERROR(INDEX('费用归属表（快照）'!$B$4:$B$16,MATCH(D52,'费用归属表（快照）'!$A$4:$A$16,0)),""))</f>
        <v/>
      </c>
      <c r="W52" s="18">
        <f>IF(OR(E52="",AND(LEFT(T52,4)&lt;&gt;"6601",LEFT(T52,4)&lt;&gt;"6401")),"",IFERROR(IF(INDEX(选项!$I$2:$I$11,MATCH(E52,选项!$H$2:$H$11,0))="","",INDEX(选项!$I$2:$I$11,MATCH(E52,选项!$H$2:$H$11,0))),""))</f>
        <v/>
      </c>
      <c r="X52" s="18">
        <f>IF(OR(E52="",AND(LEFT(T52,4)&lt;&gt;"6601",LEFT(T52,4)&lt;&gt;"6401")),"",IFERROR(IF(INDEX(选项!$J$2:$J$11,MATCH(E52,选项!$H$2:$H$11,0))="","",INDEX(选项!$J$2:$J$11,MATCH(E52,选项!$H$2:$H$11,0))),""))</f>
        <v/>
      </c>
    </row>
    <row r="53">
      <c r="A53" s="8" t="inlineStr">
        <is>
          <t>2026-07</t>
        </is>
      </c>
      <c r="B53" s="9" t="inlineStr">
        <is>
          <t>深圳星期零</t>
        </is>
      </c>
      <c r="C53" s="9" t="inlineStr">
        <is>
          <t>天鹰物流</t>
        </is>
      </c>
      <c r="D53" s="9" t="inlineStr">
        <is>
          <t>原料入库费用</t>
        </is>
      </c>
      <c r="E53" s="9" t="inlineStr">
        <is>
          <t>—</t>
        </is>
      </c>
      <c r="F53" s="9" t="inlineStr">
        <is>
          <t>孝感工厂</t>
        </is>
      </c>
      <c r="G53" s="9" t="inlineStr">
        <is>
          <t>月结</t>
        </is>
      </c>
      <c r="H53" s="9" t="inlineStr"/>
      <c r="I53" s="10" t="n">
        <v>585.04</v>
      </c>
      <c r="J53" s="11">
        <f>IFERROR(INDEX(供应商列表!$F$4:$R$25,MATCH(C53,供应商列表!$A$4:$A$25,0),MATCH(D53,供应商列表!$F$3:$R$3,0)),"")</f>
        <v/>
      </c>
      <c r="K53" s="12">
        <f>IFERROR(ROUND(I53/(1+J53),2),"")</f>
        <v/>
      </c>
      <c r="L53" s="12">
        <f>IFERROR(I53-K53,"")</f>
        <v/>
      </c>
      <c r="M53" s="8">
        <f>IFERROR(INDEX(供应商列表!$B$4:$B$25,MATCH(C53,供应商列表!$A$4:$A$25,0)),"")</f>
        <v/>
      </c>
      <c r="N53" s="13">
        <f>"计提"&amp;M53&amp;(MID(A53,6,2)*1)&amp;"月"&amp;IFERROR(INDEX(供应商列表!$E$4:$E$25,MATCH(C53,供应商列表!$A$4:$A$25,0)),"线下")&amp;IF(F53&lt;&gt;"",F53,IF(OR(E53="—",E53=""),"",E53))&amp;IFERROR(INDEX('费用归属表（快照）'!$F$4:$F$16,MATCH(D53,'费用归属表（快照）'!$A$4:$A$16,0)),"")</f>
        <v/>
      </c>
      <c r="O53" s="14" t="n"/>
      <c r="P53" s="15" t="n"/>
      <c r="Q53" s="12">
        <f>IF(P53="","",P53-I53)</f>
        <v/>
      </c>
      <c r="R53" s="16" t="n"/>
      <c r="S53" s="16" t="n"/>
      <c r="T53" s="17">
        <f>IF(D53="","",IFERROR(INDEX('费用归属表（快照）'!$C$4:$C$16,MATCH(D53,'费用归属表（快照）'!$A$4:$A$16,0)),""))</f>
        <v/>
      </c>
      <c r="U53" s="17">
        <f>IF(D53="","",IF(AND(D53="销售出库费用",B53="深圳星期九"),"永续供应中心 0010401",IF(AND(D53="原料入库费用",E53="小料"),"茶饮小料部 0030902",IFERROR(INDEX('费用归属表（快照）'!$D$4:$D$16,MATCH(D53,'费用归属表（快照）'!$A$4:$A$16,0)),""))))</f>
        <v/>
      </c>
      <c r="V53" s="17">
        <f>IF(D53="","",IFERROR(INDEX('费用归属表（快照）'!$B$4:$B$16,MATCH(D53,'费用归属表（快照）'!$A$4:$A$16,0)),""))</f>
        <v/>
      </c>
      <c r="W53" s="18">
        <f>IF(OR(E53="",AND(LEFT(T53,4)&lt;&gt;"6601",LEFT(T53,4)&lt;&gt;"6401")),"",IFERROR(IF(INDEX(选项!$I$2:$I$11,MATCH(E53,选项!$H$2:$H$11,0))="","",INDEX(选项!$I$2:$I$11,MATCH(E53,选项!$H$2:$H$11,0))),""))</f>
        <v/>
      </c>
      <c r="X53" s="18">
        <f>IF(OR(E53="",AND(LEFT(T53,4)&lt;&gt;"6601",LEFT(T53,4)&lt;&gt;"6401")),"",IFERROR(IF(INDEX(选项!$J$2:$J$11,MATCH(E53,选项!$H$2:$H$11,0))="","",INDEX(选项!$J$2:$J$11,MATCH(E53,选项!$H$2:$H$11,0))),""))</f>
        <v/>
      </c>
    </row>
    <row r="54">
      <c r="A54" s="8" t="inlineStr">
        <is>
          <t>2026-07</t>
        </is>
      </c>
      <c r="B54" s="9" t="inlineStr">
        <is>
          <t>深圳星期零</t>
        </is>
      </c>
      <c r="C54" s="9" t="inlineStr">
        <is>
          <t>天鹰物流</t>
        </is>
      </c>
      <c r="D54" s="9" t="inlineStr">
        <is>
          <t>原料入库费用</t>
        </is>
      </c>
      <c r="E54" s="9" t="inlineStr">
        <is>
          <t>小料</t>
        </is>
      </c>
      <c r="F54" s="9" t="inlineStr">
        <is>
          <t>小料</t>
        </is>
      </c>
      <c r="G54" s="9" t="inlineStr">
        <is>
          <t>月结</t>
        </is>
      </c>
      <c r="H54" s="9" t="inlineStr"/>
      <c r="I54" s="10" t="n">
        <v>6108.46</v>
      </c>
      <c r="J54" s="11">
        <f>IFERROR(INDEX(供应商列表!$F$4:$R$25,MATCH(C54,供应商列表!$A$4:$A$25,0),MATCH(D54,供应商列表!$F$3:$R$3,0)),"")</f>
        <v/>
      </c>
      <c r="K54" s="12">
        <f>IFERROR(ROUND(I54/(1+J54),2),"")</f>
        <v/>
      </c>
      <c r="L54" s="12">
        <f>IFERROR(I54-K54,"")</f>
        <v/>
      </c>
      <c r="M54" s="8">
        <f>IFERROR(INDEX(供应商列表!$B$4:$B$25,MATCH(C54,供应商列表!$A$4:$A$25,0)),"")</f>
        <v/>
      </c>
      <c r="N54" s="13">
        <f>"计提"&amp;M54&amp;(MID(A54,6,2)*1)&amp;"月"&amp;IFERROR(INDEX(供应商列表!$E$4:$E$25,MATCH(C54,供应商列表!$A$4:$A$25,0)),"线下")&amp;IF(F54&lt;&gt;"",F54,IF(OR(E54="—",E54=""),"",E54))&amp;IFERROR(INDEX('费用归属表（快照）'!$F$4:$F$16,MATCH(D54,'费用归属表（快照）'!$A$4:$A$16,0)),"")</f>
        <v/>
      </c>
      <c r="O54" s="14" t="n"/>
      <c r="P54" s="15" t="n"/>
      <c r="Q54" s="12">
        <f>IF(P54="","",P54-I54)</f>
        <v/>
      </c>
      <c r="R54" s="16" t="n"/>
      <c r="S54" s="16" t="n"/>
      <c r="T54" s="17">
        <f>IF(D54="","",IFERROR(INDEX('费用归属表（快照）'!$C$4:$C$16,MATCH(D54,'费用归属表（快照）'!$A$4:$A$16,0)),""))</f>
        <v/>
      </c>
      <c r="U54" s="17">
        <f>IF(D54="","",IF(AND(D54="销售出库费用",B54="深圳星期九"),"永续供应中心 0010401",IF(AND(D54="原料入库费用",E54="小料"),"茶饮小料部 0030902",IFERROR(INDEX('费用归属表（快照）'!$D$4:$D$16,MATCH(D54,'费用归属表（快照）'!$A$4:$A$16,0)),""))))</f>
        <v/>
      </c>
      <c r="V54" s="17">
        <f>IF(D54="","",IFERROR(INDEX('费用归属表（快照）'!$B$4:$B$16,MATCH(D54,'费用归属表（快照）'!$A$4:$A$16,0)),""))</f>
        <v/>
      </c>
      <c r="W54" s="18">
        <f>IF(OR(E54="",AND(LEFT(T54,4)&lt;&gt;"6601",LEFT(T54,4)&lt;&gt;"6401")),"",IFERROR(IF(INDEX(选项!$I$2:$I$11,MATCH(E54,选项!$H$2:$H$11,0))="","",INDEX(选项!$I$2:$I$11,MATCH(E54,选项!$H$2:$H$11,0))),""))</f>
        <v/>
      </c>
      <c r="X54" s="18">
        <f>IF(OR(E54="",AND(LEFT(T54,4)&lt;&gt;"6601",LEFT(T54,4)&lt;&gt;"6401")),"",IFERROR(IF(INDEX(选项!$J$2:$J$11,MATCH(E54,选项!$H$2:$H$11,0))="","",INDEX(选项!$J$2:$J$11,MATCH(E54,选项!$H$2:$H$11,0))),""))</f>
        <v/>
      </c>
    </row>
    <row r="55">
      <c r="A55" s="8" t="inlineStr">
        <is>
          <t>2026-07</t>
        </is>
      </c>
      <c r="B55" s="9" t="inlineStr">
        <is>
          <t>深圳星期零</t>
        </is>
      </c>
      <c r="C55" s="9" t="inlineStr">
        <is>
          <t>天鹰物流</t>
        </is>
      </c>
      <c r="D55" s="9" t="inlineStr">
        <is>
          <t>销售出库费用</t>
        </is>
      </c>
      <c r="E55" s="9" t="inlineStr">
        <is>
          <t>小料</t>
        </is>
      </c>
      <c r="F55" s="9" t="inlineStr"/>
      <c r="G55" s="9" t="inlineStr">
        <is>
          <t>月结</t>
        </is>
      </c>
      <c r="H55" s="9" t="inlineStr"/>
      <c r="I55" s="10" t="n">
        <v>5653.97</v>
      </c>
      <c r="J55" s="11">
        <f>IFERROR(INDEX(供应商列表!$F$4:$R$25,MATCH(C55,供应商列表!$A$4:$A$25,0),MATCH(D55,供应商列表!$F$3:$R$3,0)),"")</f>
        <v/>
      </c>
      <c r="K55" s="12">
        <f>IFERROR(ROUND(I55/(1+J55),2),"")</f>
        <v/>
      </c>
      <c r="L55" s="12">
        <f>IFERROR(I55-K55,"")</f>
        <v/>
      </c>
      <c r="M55" s="8">
        <f>IFERROR(INDEX(供应商列表!$B$4:$B$25,MATCH(C55,供应商列表!$A$4:$A$25,0)),"")</f>
        <v/>
      </c>
      <c r="N55" s="13">
        <f>"计提"&amp;M55&amp;(MID(A55,6,2)*1)&amp;"月"&amp;IFERROR(INDEX(供应商列表!$E$4:$E$25,MATCH(C55,供应商列表!$A$4:$A$25,0)),"线下")&amp;IF(F55&lt;&gt;"",F55,IF(OR(E55="—",E55=""),"",E55))&amp;IFERROR(INDEX('费用归属表（快照）'!$F$4:$F$16,MATCH(D55,'费用归属表（快照）'!$A$4:$A$16,0)),"")</f>
        <v/>
      </c>
      <c r="O55" s="14" t="n"/>
      <c r="P55" s="15" t="n"/>
      <c r="Q55" s="12">
        <f>IF(P55="","",P55-I55)</f>
        <v/>
      </c>
      <c r="R55" s="16" t="n"/>
      <c r="S55" s="16" t="n"/>
      <c r="T55" s="17">
        <f>IF(D55="","",IFERROR(INDEX('费用归属表（快照）'!$C$4:$C$16,MATCH(D55,'费用归属表（快照）'!$A$4:$A$16,0)),""))</f>
        <v/>
      </c>
      <c r="U55" s="17">
        <f>IF(D55="","",IF(AND(D55="销售出库费用",B55="深圳星期九"),"永续供应中心 0010401",IF(AND(D55="原料入库费用",E55="小料"),"茶饮小料部 0030902",IFERROR(INDEX('费用归属表（快照）'!$D$4:$D$16,MATCH(D55,'费用归属表（快照）'!$A$4:$A$16,0)),""))))</f>
        <v/>
      </c>
      <c r="V55" s="17">
        <f>IF(D55="","",IFERROR(INDEX('费用归属表（快照）'!$B$4:$B$16,MATCH(D55,'费用归属表（快照）'!$A$4:$A$16,0)),""))</f>
        <v/>
      </c>
      <c r="W55" s="18">
        <f>IF(OR(E55="",AND(LEFT(T55,4)&lt;&gt;"6601",LEFT(T55,4)&lt;&gt;"6401")),"",IFERROR(IF(INDEX(选项!$I$2:$I$11,MATCH(E55,选项!$H$2:$H$11,0))="","",INDEX(选项!$I$2:$I$11,MATCH(E55,选项!$H$2:$H$11,0))),""))</f>
        <v/>
      </c>
      <c r="X55" s="18">
        <f>IF(OR(E55="",AND(LEFT(T55,4)&lt;&gt;"6601",LEFT(T55,4)&lt;&gt;"6401")),"",IFERROR(IF(INDEX(选项!$J$2:$J$11,MATCH(E55,选项!$H$2:$H$11,0))="","",INDEX(选项!$J$2:$J$11,MATCH(E55,选项!$H$2:$H$11,0))),""))</f>
        <v/>
      </c>
    </row>
    <row r="56">
      <c r="A56" s="8" t="inlineStr">
        <is>
          <t>2026-07</t>
        </is>
      </c>
      <c r="B56" s="9" t="inlineStr">
        <is>
          <t>深圳星期零</t>
        </is>
      </c>
      <c r="C56" s="9" t="inlineStr">
        <is>
          <t>顺鸽电商仓</t>
        </is>
      </c>
      <c r="D56" s="9" t="inlineStr">
        <is>
          <t>成品入库费用</t>
        </is>
      </c>
      <c r="E56" s="9" t="inlineStr">
        <is>
          <t>鲜食</t>
        </is>
      </c>
      <c r="F56" s="9" t="inlineStr">
        <is>
          <t>鲜食</t>
        </is>
      </c>
      <c r="G56" s="9" t="inlineStr">
        <is>
          <t>月结</t>
        </is>
      </c>
      <c r="H56" s="9" t="inlineStr"/>
      <c r="I56" s="10" t="n">
        <v>901</v>
      </c>
      <c r="J56" s="11">
        <f>IFERROR(INDEX(供应商列表!$F$4:$R$25,MATCH(C56,供应商列表!$A$4:$A$25,0),MATCH(D56,供应商列表!$F$3:$R$3,0)),"")</f>
        <v/>
      </c>
      <c r="K56" s="12">
        <f>IFERROR(ROUND(I56/(1+J56),2),"")</f>
        <v/>
      </c>
      <c r="L56" s="12">
        <f>IFERROR(I56-K56,"")</f>
        <v/>
      </c>
      <c r="M56" s="8">
        <f>IFERROR(INDEX(供应商列表!$B$4:$B$25,MATCH(C56,供应商列表!$A$4:$A$25,0)),"")</f>
        <v/>
      </c>
      <c r="N56" s="13">
        <f>"计提"&amp;M56&amp;(MID(A56,6,2)*1)&amp;"月"&amp;IFERROR(INDEX(供应商列表!$E$4:$E$25,MATCH(C56,供应商列表!$A$4:$A$25,0)),"线下")&amp;IF(F56&lt;&gt;"",F56,IF(OR(E56="—",E56=""),"",E56))&amp;IFERROR(INDEX('费用归属表（快照）'!$F$4:$F$16,MATCH(D56,'费用归属表（快照）'!$A$4:$A$16,0)),"")</f>
        <v/>
      </c>
      <c r="O56" s="14" t="n"/>
      <c r="P56" s="15" t="n"/>
      <c r="Q56" s="12">
        <f>IF(P56="","",P56-I56)</f>
        <v/>
      </c>
      <c r="R56" s="16" t="n"/>
      <c r="S56" s="16" t="n"/>
      <c r="T56" s="17">
        <f>IF(D56="","",IFERROR(INDEX('费用归属表（快照）'!$C$4:$C$16,MATCH(D56,'费用归属表（快照）'!$A$4:$A$16,0)),""))</f>
        <v/>
      </c>
      <c r="U56" s="17">
        <f>IF(D56="","",IF(AND(D56="销售出库费用",B56="深圳星期九"),"永续供应中心 0010401",IF(AND(D56="原料入库费用",E56="小料"),"茶饮小料部 0030902",IFERROR(INDEX('费用归属表（快照）'!$D$4:$D$16,MATCH(D56,'费用归属表（快照）'!$A$4:$A$16,0)),""))))</f>
        <v/>
      </c>
      <c r="V56" s="17">
        <f>IF(D56="","",IFERROR(INDEX('费用归属表（快照）'!$B$4:$B$16,MATCH(D56,'费用归属表（快照）'!$A$4:$A$16,0)),""))</f>
        <v/>
      </c>
      <c r="W56" s="18">
        <f>IF(OR(E56="",AND(LEFT(T56,4)&lt;&gt;"6601",LEFT(T56,4)&lt;&gt;"6401")),"",IFERROR(IF(INDEX(选项!$I$2:$I$11,MATCH(E56,选项!$H$2:$H$11,0))="","",INDEX(选项!$I$2:$I$11,MATCH(E56,选项!$H$2:$H$11,0))),""))</f>
        <v/>
      </c>
      <c r="X56" s="18">
        <f>IF(OR(E56="",AND(LEFT(T56,4)&lt;&gt;"6601",LEFT(T56,4)&lt;&gt;"6401")),"",IFERROR(IF(INDEX(选项!$J$2:$J$11,MATCH(E56,选项!$H$2:$H$11,0))="","",INDEX(选项!$J$2:$J$11,MATCH(E56,选项!$H$2:$H$11,0))),""))</f>
        <v/>
      </c>
    </row>
    <row r="57">
      <c r="A57" s="8" t="inlineStr">
        <is>
          <t>2026-07</t>
        </is>
      </c>
      <c r="B57" s="9" t="inlineStr">
        <is>
          <t>深圳星期零</t>
        </is>
      </c>
      <c r="C57" s="9" t="inlineStr">
        <is>
          <t>大润发</t>
        </is>
      </c>
      <c r="D57" s="9" t="inlineStr">
        <is>
          <t>销售出库费用</t>
        </is>
      </c>
      <c r="E57" s="9" t="inlineStr">
        <is>
          <t>零售</t>
        </is>
      </c>
      <c r="F57" s="9" t="inlineStr"/>
      <c r="G57" s="9" t="inlineStr">
        <is>
          <t>月结</t>
        </is>
      </c>
      <c r="H57" s="9" t="inlineStr"/>
      <c r="I57" s="10" t="n">
        <v>53.56</v>
      </c>
      <c r="J57" s="11">
        <f>IFERROR(INDEX(供应商列表!$F$4:$R$25,MATCH(C57,供应商列表!$A$4:$A$25,0),MATCH(D57,供应商列表!$F$3:$R$3,0)),"")</f>
        <v/>
      </c>
      <c r="K57" s="12">
        <f>IFERROR(ROUND(I57/(1+J57),2),"")</f>
        <v/>
      </c>
      <c r="L57" s="12">
        <f>IFERROR(I57-K57,"")</f>
        <v/>
      </c>
      <c r="M57" s="8">
        <f>IFERROR(INDEX(供应商列表!$B$4:$B$25,MATCH(C57,供应商列表!$A$4:$A$25,0)),"")</f>
        <v/>
      </c>
      <c r="N57" s="13">
        <f>"计提"&amp;M57&amp;(MID(A57,6,2)*1)&amp;"月"&amp;IFERROR(INDEX(供应商列表!$E$4:$E$25,MATCH(C57,供应商列表!$A$4:$A$25,0)),"线下")&amp;IF(F57&lt;&gt;"",F57,IF(OR(E57="—",E57=""),"",E57))&amp;IFERROR(INDEX('费用归属表（快照）'!$F$4:$F$16,MATCH(D57,'费用归属表（快照）'!$A$4:$A$16,0)),"")</f>
        <v/>
      </c>
      <c r="O57" s="14" t="n"/>
      <c r="P57" s="15" t="n"/>
      <c r="Q57" s="12">
        <f>IF(P57="","",P57-I57)</f>
        <v/>
      </c>
      <c r="R57" s="16" t="n"/>
      <c r="S57" s="16" t="n"/>
      <c r="T57" s="17">
        <f>IF(D57="","",IFERROR(INDEX('费用归属表（快照）'!$C$4:$C$16,MATCH(D57,'费用归属表（快照）'!$A$4:$A$16,0)),""))</f>
        <v/>
      </c>
      <c r="U57" s="17">
        <f>IF(D57="","",IF(AND(D57="销售出库费用",B57="深圳星期九"),"永续供应中心 0010401",IF(AND(D57="原料入库费用",E57="小料"),"茶饮小料部 0030902",IFERROR(INDEX('费用归属表（快照）'!$D$4:$D$16,MATCH(D57,'费用归属表（快照）'!$A$4:$A$16,0)),""))))</f>
        <v/>
      </c>
      <c r="V57" s="17">
        <f>IF(D57="","",IFERROR(INDEX('费用归属表（快照）'!$B$4:$B$16,MATCH(D57,'费用归属表（快照）'!$A$4:$A$16,0)),""))</f>
        <v/>
      </c>
      <c r="W57" s="18">
        <f>IF(OR(E57="",AND(LEFT(T57,4)&lt;&gt;"6601",LEFT(T57,4)&lt;&gt;"6401")),"",IFERROR(IF(INDEX(选项!$I$2:$I$11,MATCH(E57,选项!$H$2:$H$11,0))="","",INDEX(选项!$I$2:$I$11,MATCH(E57,选项!$H$2:$H$11,0))),""))</f>
        <v/>
      </c>
      <c r="X57" s="18">
        <f>IF(OR(E57="",AND(LEFT(T57,4)&lt;&gt;"6601",LEFT(T57,4)&lt;&gt;"6401")),"",IFERROR(IF(INDEX(选项!$J$2:$J$11,MATCH(E57,选项!$H$2:$H$11,0))="","",INDEX(选项!$J$2:$J$11,MATCH(E57,选项!$H$2:$H$11,0))),""))</f>
        <v/>
      </c>
    </row>
    <row r="58">
      <c r="A58" s="8" t="inlineStr">
        <is>
          <t>2026-07</t>
        </is>
      </c>
      <c r="B58" s="9" t="inlineStr">
        <is>
          <t>深圳星期零</t>
        </is>
      </c>
      <c r="C58" s="9" t="inlineStr">
        <is>
          <t>货拉拉</t>
        </is>
      </c>
      <c r="D58" s="9" t="inlineStr">
        <is>
          <t>销售出库费用</t>
        </is>
      </c>
      <c r="E58" s="9" t="inlineStr">
        <is>
          <t>—</t>
        </is>
      </c>
      <c r="F58" s="9" t="inlineStr">
        <is>
          <t>样品</t>
        </is>
      </c>
      <c r="G58" s="9" t="inlineStr">
        <is>
          <t>非月结</t>
        </is>
      </c>
      <c r="H58" s="9" t="inlineStr">
        <is>
          <t>张三</t>
        </is>
      </c>
      <c r="I58" s="10" t="n">
        <v>860</v>
      </c>
      <c r="J58" s="11">
        <f>IFERROR(INDEX(供应商列表!$F$4:$R$25,MATCH(C58,供应商列表!$A$4:$A$25,0),MATCH(D58,供应商列表!$F$3:$R$3,0)),"")</f>
        <v/>
      </c>
      <c r="K58" s="12">
        <f>IFERROR(ROUND(I58/(1+J58),2),"")</f>
        <v/>
      </c>
      <c r="L58" s="12">
        <f>IFERROR(I58-K58,"")</f>
        <v/>
      </c>
      <c r="M58" s="8">
        <f>IFERROR(INDEX(供应商列表!$B$4:$B$25,MATCH(C58,供应商列表!$A$4:$A$25,0)),"")</f>
        <v/>
      </c>
      <c r="N58" s="13">
        <f>"计提"&amp;M58&amp;(MID(A58,6,2)*1)&amp;"月"&amp;IFERROR(INDEX(供应商列表!$E$4:$E$25,MATCH(C58,供应商列表!$A$4:$A$25,0)),"线下")&amp;IF(F58&lt;&gt;"",F58,IF(OR(E58="—",E58=""),"",E58))&amp;IFERROR(INDEX('费用归属表（快照）'!$F$4:$F$16,MATCH(D58,'费用归属表（快照）'!$A$4:$A$16,0)),"")</f>
        <v/>
      </c>
      <c r="O58" s="14" t="n"/>
      <c r="P58" s="15" t="n"/>
      <c r="Q58" s="12">
        <f>IF(P58="","",P58-I58)</f>
        <v/>
      </c>
      <c r="R58" s="16" t="n"/>
      <c r="S58" s="16" t="n"/>
      <c r="T58" s="17">
        <f>IF(D58="","",IFERROR(INDEX('费用归属表（快照）'!$C$4:$C$16,MATCH(D58,'费用归属表（快照）'!$A$4:$A$16,0)),""))</f>
        <v/>
      </c>
      <c r="U58" s="17">
        <f>IF(D58="","",IF(AND(D58="销售出库费用",B58="深圳星期九"),"永续供应中心 0010401",IF(AND(D58="原料入库费用",E58="小料"),"茶饮小料部 0030902",IFERROR(INDEX('费用归属表（快照）'!$D$4:$D$16,MATCH(D58,'费用归属表（快照）'!$A$4:$A$16,0)),""))))</f>
        <v/>
      </c>
      <c r="V58" s="17">
        <f>IF(D58="","",IFERROR(INDEX('费用归属表（快照）'!$B$4:$B$16,MATCH(D58,'费用归属表（快照）'!$A$4:$A$16,0)),""))</f>
        <v/>
      </c>
      <c r="W58" s="18">
        <f>IF(OR(E58="",AND(LEFT(T58,4)&lt;&gt;"6601",LEFT(T58,4)&lt;&gt;"6401")),"",IFERROR(IF(INDEX(选项!$I$2:$I$11,MATCH(E58,选项!$H$2:$H$11,0))="","",INDEX(选项!$I$2:$I$11,MATCH(E58,选项!$H$2:$H$11,0))),""))</f>
        <v/>
      </c>
      <c r="X58" s="18">
        <f>IF(OR(E58="",AND(LEFT(T58,4)&lt;&gt;"6601",LEFT(T58,4)&lt;&gt;"6401")),"",IFERROR(IF(INDEX(选项!$J$2:$J$11,MATCH(E58,选项!$H$2:$H$11,0))="","",INDEX(选项!$J$2:$J$11,MATCH(E58,选项!$H$2:$H$11,0))),""))</f>
        <v/>
      </c>
    </row>
    <row r="59">
      <c r="A59" s="8" t="inlineStr">
        <is>
          <t>2026-07</t>
        </is>
      </c>
      <c r="B59" s="9" t="inlineStr">
        <is>
          <t>深圳星期零</t>
        </is>
      </c>
      <c r="C59" s="9" t="inlineStr">
        <is>
          <t>货拉拉</t>
        </is>
      </c>
      <c r="D59" s="9" t="inlineStr">
        <is>
          <t>成品调拨费用</t>
        </is>
      </c>
      <c r="E59" s="9" t="inlineStr">
        <is>
          <t>电商</t>
        </is>
      </c>
      <c r="F59" s="9" t="inlineStr"/>
      <c r="G59" s="9" t="inlineStr">
        <is>
          <t>非月结</t>
        </is>
      </c>
      <c r="H59" s="9" t="inlineStr">
        <is>
          <t>李四</t>
        </is>
      </c>
      <c r="I59" s="10" t="n">
        <v>1240</v>
      </c>
      <c r="J59" s="11">
        <f>IFERROR(INDEX(供应商列表!$F$4:$R$25,MATCH(C59,供应商列表!$A$4:$A$25,0),MATCH(D59,供应商列表!$F$3:$R$3,0)),"")</f>
        <v/>
      </c>
      <c r="K59" s="12">
        <f>IFERROR(ROUND(I59/(1+J59),2),"")</f>
        <v/>
      </c>
      <c r="L59" s="12">
        <f>IFERROR(I59-K59,"")</f>
        <v/>
      </c>
      <c r="M59" s="8">
        <f>IFERROR(INDEX(供应商列表!$B$4:$B$25,MATCH(C59,供应商列表!$A$4:$A$25,0)),"")</f>
        <v/>
      </c>
      <c r="N59" s="13">
        <f>"计提"&amp;M59&amp;(MID(A59,6,2)*1)&amp;"月"&amp;IFERROR(INDEX(供应商列表!$E$4:$E$25,MATCH(C59,供应商列表!$A$4:$A$25,0)),"线下")&amp;IF(F59&lt;&gt;"",F59,IF(OR(E59="—",E59=""),"",E59))&amp;IFERROR(INDEX('费用归属表（快照）'!$F$4:$F$16,MATCH(D59,'费用归属表（快照）'!$A$4:$A$16,0)),"")</f>
        <v/>
      </c>
      <c r="O59" s="14" t="n"/>
      <c r="P59" s="15" t="n"/>
      <c r="Q59" s="12">
        <f>IF(P59="","",P59-I59)</f>
        <v/>
      </c>
      <c r="R59" s="16" t="n"/>
      <c r="S59" s="16" t="n"/>
      <c r="T59" s="17">
        <f>IF(D59="","",IFERROR(INDEX('费用归属表（快照）'!$C$4:$C$16,MATCH(D59,'费用归属表（快照）'!$A$4:$A$16,0)),""))</f>
        <v/>
      </c>
      <c r="U59" s="17">
        <f>IF(D59="","",IF(AND(D59="销售出库费用",B59="深圳星期九"),"永续供应中心 0010401",IF(AND(D59="原料入库费用",E59="小料"),"茶饮小料部 0030902",IFERROR(INDEX('费用归属表（快照）'!$D$4:$D$16,MATCH(D59,'费用归属表（快照）'!$A$4:$A$16,0)),""))))</f>
        <v/>
      </c>
      <c r="V59" s="17">
        <f>IF(D59="","",IFERROR(INDEX('费用归属表（快照）'!$B$4:$B$16,MATCH(D59,'费用归属表（快照）'!$A$4:$A$16,0)),""))</f>
        <v/>
      </c>
      <c r="W59" s="18">
        <f>IF(OR(E59="",AND(LEFT(T59,4)&lt;&gt;"6601",LEFT(T59,4)&lt;&gt;"6401")),"",IFERROR(IF(INDEX(选项!$I$2:$I$11,MATCH(E59,选项!$H$2:$H$11,0))="","",INDEX(选项!$I$2:$I$11,MATCH(E59,选项!$H$2:$H$11,0))),""))</f>
        <v/>
      </c>
      <c r="X59" s="18">
        <f>IF(OR(E59="",AND(LEFT(T59,4)&lt;&gt;"6601",LEFT(T59,4)&lt;&gt;"6401")),"",IFERROR(IF(INDEX(选项!$J$2:$J$11,MATCH(E59,选项!$H$2:$H$11,0))="","",INDEX(选项!$J$2:$J$11,MATCH(E59,选项!$H$2:$H$11,0))),""))</f>
        <v/>
      </c>
    </row>
    <row r="60">
      <c r="A60" s="7" t="inlineStr">
        <is>
          <t>合计</t>
        </is>
      </c>
      <c r="B60" s="19" t="n"/>
      <c r="C60" s="19" t="n"/>
      <c r="D60" s="19" t="n"/>
      <c r="E60" s="19" t="n"/>
      <c r="F60" s="19" t="n"/>
      <c r="G60" s="19" t="n"/>
      <c r="H60" s="19" t="n"/>
      <c r="I60" s="20">
        <f>SUM(I4:I59)</f>
        <v/>
      </c>
      <c r="J60" s="19" t="n"/>
      <c r="K60" s="20">
        <f>SUM(K4:K59)</f>
        <v/>
      </c>
      <c r="L60" s="20">
        <f>SUM(L4:L59)</f>
        <v/>
      </c>
      <c r="M60" s="19" t="n"/>
      <c r="N60" s="19" t="n"/>
      <c r="O60" s="19" t="n"/>
      <c r="P60" s="20">
        <f>SUM(P4:P59)</f>
        <v/>
      </c>
      <c r="Q60" s="19" t="n"/>
      <c r="R60" s="19" t="n"/>
      <c r="S60" s="19" t="n"/>
      <c r="T60" s="19" t="n"/>
      <c r="U60" s="19" t="n"/>
      <c r="V60" s="19" t="n"/>
      <c r="W60" s="19" t="n"/>
      <c r="X60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4:X59">
    <cfRule type="expression" priority="1" dxfId="0">
      <formula>AND($I4&lt;&gt;"",OR($B4="",$C4="",$D4=""))</formula>
    </cfRule>
  </conditionalFormatting>
  <conditionalFormatting sqref="J4:J59">
    <cfRule type="expression" priority="2" dxfId="0">
      <formula>AND($I4&lt;&gt;"",$J4="")</formula>
    </cfRule>
  </conditionalFormatting>
  <conditionalFormatting sqref="H4:H59">
    <cfRule type="expression" priority="3" dxfId="1">
      <formula>AND($G4="非月结",$H4="")</formula>
    </cfRule>
  </conditionalFormatting>
  <dataValidations count="5">
    <dataValidation sqref="B4:B59" showDropDown="0" showInputMessage="0" showErrorMessage="1" allowBlank="1" errorTitle="只能从下拉选择" error="请从下拉列表选择,不要手敲。" type="list">
      <formula1>=清单_付款主体</formula1>
    </dataValidation>
    <dataValidation sqref="C4:C59" showDropDown="0" showInputMessage="0" showErrorMessage="1" allowBlank="1" errorTitle="只能从下拉选择" error="请从下拉列表选择,不要手敲。" type="list">
      <formula1>=清单_物流商</formula1>
    </dataValidation>
    <dataValidation sqref="D4:D59" showDropDown="0" showInputMessage="0" showErrorMessage="1" allowBlank="1" errorTitle="只能从下拉选择" error="请从下拉列表选择,不要手敲。" type="list">
      <formula1>=清单_费用归属</formula1>
    </dataValidation>
    <dataValidation sqref="E4:E59" showDropDown="0" showInputMessage="0" showErrorMessage="1" allowBlank="1" errorTitle="只能从下拉选择" error="请从下拉列表选择,不要手敲。" type="list">
      <formula1>=清单_业务线</formula1>
    </dataValidation>
    <dataValidation sqref="G4:G59" showDropDown="0" showInputMessage="0" showErrorMessage="1" allowBlank="1" errorTitle="只能从下拉选择" error="请从下拉列表选择,不要手敲。" type="list">
      <formula1>=清单_结算类型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L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0" customWidth="1" min="4" max="4"/>
    <col width="10" customWidth="1" min="5" max="5"/>
    <col width="10" customWidth="1" min="6" max="6"/>
    <col width="13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</cols>
  <sheetData>
    <row r="1">
      <c r="A1" s="1" t="inlineStr">
        <is>
          <t>做账去向表(本月费用准备做到哪个科目/哪个业务线/哪个部门——全公式自动,数据源=计提明细表维度列)　账期 2026-07</t>
        </is>
      </c>
    </row>
    <row r="2">
      <c r="A2" s="5" t="inlineStr">
        <is>
          <t>行=账证实证维度组合(2026 序时账 1229 行反推,共 27 种);金额=明细表按 主体×科目×部门×费用项目×产品分类×产品项目 六键汇总;新组合(人工改维度产生)落不进清单时,底部核对格≠0 提醒。</t>
        </is>
      </c>
    </row>
    <row r="3">
      <c r="A3" s="7" t="inlineStr">
        <is>
          <t>付款主体</t>
        </is>
      </c>
      <c r="B3" s="7" t="inlineStr">
        <is>
          <t>借方科目</t>
        </is>
      </c>
      <c r="C3" s="7" t="inlineStr">
        <is>
          <t>部门</t>
        </is>
      </c>
      <c r="D3" s="7" t="inlineStr">
        <is>
          <t>费用项目</t>
        </is>
      </c>
      <c r="E3" s="7" t="inlineStr">
        <is>
          <t>产品分类</t>
        </is>
      </c>
      <c r="F3" s="7" t="inlineStr">
        <is>
          <t>产品项目</t>
        </is>
      </c>
      <c r="G3" s="7" t="inlineStr">
        <is>
          <t>业务线(参考)</t>
        </is>
      </c>
      <c r="H3" s="7" t="inlineStr">
        <is>
          <t>未税</t>
        </is>
      </c>
      <c r="I3" s="7" t="inlineStr">
        <is>
          <t>税额</t>
        </is>
      </c>
      <c r="J3" s="7" t="inlineStr">
        <is>
          <t>含税</t>
        </is>
      </c>
      <c r="K3" s="7" t="inlineStr">
        <is>
          <t>笔数</t>
        </is>
      </c>
      <c r="L3" s="7" t="inlineStr">
        <is>
          <t>账证月份</t>
        </is>
      </c>
    </row>
    <row r="4">
      <c r="A4" s="21" t="inlineStr">
        <is>
          <t>深圳星期零</t>
        </is>
      </c>
      <c r="B4" s="22" t="inlineStr">
        <is>
          <t>6601 销售费用</t>
        </is>
      </c>
      <c r="C4" s="22" t="inlineStr">
        <is>
          <t>永续物流中心 0011401</t>
        </is>
      </c>
      <c r="D4" s="22" t="inlineStr">
        <is>
          <t>出库运费 FYXM008.002其他物流费用002</t>
        </is>
      </c>
      <c r="E4" s="21" t="inlineStr">
        <is>
          <t>CPFL007</t>
        </is>
      </c>
      <c r="F4" s="21" t="inlineStr"/>
      <c r="G4" s="21" t="inlineStr">
        <is>
          <t>植物肉</t>
        </is>
      </c>
      <c r="H4" s="12">
        <f>SUMIFS(计提明细表!$K$4:$K$59,计提明细表!$B$4:$B$59,$A4,计提明细表!$T$4:$T$59,$B4,计提明细表!$U$4:$U$59,$C4,计提明细表!$V$4:$V$59,$D4,计提明细表!$W$4:$W$59,$E4&amp;"",计提明细表!$X$4:$X$59,$F4&amp;"")</f>
        <v/>
      </c>
      <c r="I4" s="12">
        <f>SUMIFS(计提明细表!$L$4:$L$59,计提明细表!$B$4:$B$59,$A4,计提明细表!$T$4:$T$59,$B4,计提明细表!$U$4:$U$59,$C4,计提明细表!$V$4:$V$59,$D4,计提明细表!$W$4:$W$59,$E4&amp;"",计提明细表!$X$4:$X$59,$F4&amp;"")</f>
        <v/>
      </c>
      <c r="J4" s="12">
        <f>SUMIFS(计提明细表!$I$4:$I$59,计提明细表!$B$4:$B$59,$A4,计提明细表!$T$4:$T$59,$B4,计提明细表!$U$4:$U$59,$C4,计提明细表!$V$4:$V$59,$D4,计提明细表!$W$4:$W$59,$E4&amp;"",计提明细表!$X$4:$X$59,$F4&amp;"")</f>
        <v/>
      </c>
      <c r="K4" s="8">
        <f>COUNTIFS(计提明细表!$B$4:$B$59,$A4,计提明细表!$T$4:$T$59,$B4,计提明细表!$U$4:$U$59,$C4,计提明细表!$V$4:$V$59,$D4,计提明细表!$W$4:$W$59,$E4&amp;"",计提明细表!$X$4:$X$59,$F4&amp;"")</f>
        <v/>
      </c>
      <c r="L4" s="23" t="inlineStr">
        <is>
          <t>1-6月</t>
        </is>
      </c>
    </row>
    <row r="5">
      <c r="A5" s="21" t="inlineStr">
        <is>
          <t>深圳星期零</t>
        </is>
      </c>
      <c r="B5" s="22" t="inlineStr">
        <is>
          <t>6601 销售费用</t>
        </is>
      </c>
      <c r="C5" s="22" t="inlineStr">
        <is>
          <t>永续物流中心 0011401</t>
        </is>
      </c>
      <c r="D5" s="22" t="inlineStr">
        <is>
          <t>出库运费 FYXM008.002其他物流费用002</t>
        </is>
      </c>
      <c r="E5" s="21" t="inlineStr">
        <is>
          <t>CPFL010</t>
        </is>
      </c>
      <c r="F5" s="21" t="inlineStr">
        <is>
          <t>CPXM017</t>
        </is>
      </c>
      <c r="G5" s="21" t="inlineStr">
        <is>
          <t>鲜食</t>
        </is>
      </c>
      <c r="H5" s="12">
        <f>SUMIFS(计提明细表!$K$4:$K$59,计提明细表!$B$4:$B$59,$A5,计提明细表!$T$4:$T$59,$B5,计提明细表!$U$4:$U$59,$C5,计提明细表!$V$4:$V$59,$D5,计提明细表!$W$4:$W$59,$E5&amp;"",计提明细表!$X$4:$X$59,$F5&amp;"")</f>
        <v/>
      </c>
      <c r="I5" s="12">
        <f>SUMIFS(计提明细表!$L$4:$L$59,计提明细表!$B$4:$B$59,$A5,计提明细表!$T$4:$T$59,$B5,计提明细表!$U$4:$U$59,$C5,计提明细表!$V$4:$V$59,$D5,计提明细表!$W$4:$W$59,$E5&amp;"",计提明细表!$X$4:$X$59,$F5&amp;"")</f>
        <v/>
      </c>
      <c r="J5" s="12">
        <f>SUMIFS(计提明细表!$I$4:$I$59,计提明细表!$B$4:$B$59,$A5,计提明细表!$T$4:$T$59,$B5,计提明细表!$U$4:$U$59,$C5,计提明细表!$V$4:$V$59,$D5,计提明细表!$W$4:$W$59,$E5&amp;"",计提明细表!$X$4:$X$59,$F5&amp;"")</f>
        <v/>
      </c>
      <c r="K5" s="8">
        <f>COUNTIFS(计提明细表!$B$4:$B$59,$A5,计提明细表!$T$4:$T$59,$B5,计提明细表!$U$4:$U$59,$C5,计提明细表!$V$4:$V$59,$D5,计提明细表!$W$4:$W$59,$E5&amp;"",计提明细表!$X$4:$X$59,$F5&amp;"")</f>
        <v/>
      </c>
      <c r="L5" s="23" t="inlineStr">
        <is>
          <t>1-6月</t>
        </is>
      </c>
    </row>
    <row r="6">
      <c r="A6" s="21" t="inlineStr">
        <is>
          <t>深圳星期零</t>
        </is>
      </c>
      <c r="B6" s="22" t="inlineStr">
        <is>
          <t>6601 销售费用</t>
        </is>
      </c>
      <c r="C6" s="22" t="inlineStr">
        <is>
          <t>永续物流中心 0011401</t>
        </is>
      </c>
      <c r="D6" s="22" t="inlineStr">
        <is>
          <t>出库运费 FYXM008.002其他物流费用002</t>
        </is>
      </c>
      <c r="E6" s="21" t="inlineStr">
        <is>
          <t>CPFL011</t>
        </is>
      </c>
      <c r="F6" s="21" t="inlineStr"/>
      <c r="G6" s="21" t="inlineStr">
        <is>
          <t>零售</t>
        </is>
      </c>
      <c r="H6" s="12">
        <f>SUMIFS(计提明细表!$K$4:$K$59,计提明细表!$B$4:$B$59,$A6,计提明细表!$T$4:$T$59,$B6,计提明细表!$U$4:$U$59,$C6,计提明细表!$V$4:$V$59,$D6,计提明细表!$W$4:$W$59,$E6&amp;"",计提明细表!$X$4:$X$59,$F6&amp;"")</f>
        <v/>
      </c>
      <c r="I6" s="12">
        <f>SUMIFS(计提明细表!$L$4:$L$59,计提明细表!$B$4:$B$59,$A6,计提明细表!$T$4:$T$59,$B6,计提明细表!$U$4:$U$59,$C6,计提明细表!$V$4:$V$59,$D6,计提明细表!$W$4:$W$59,$E6&amp;"",计提明细表!$X$4:$X$59,$F6&amp;"")</f>
        <v/>
      </c>
      <c r="J6" s="12">
        <f>SUMIFS(计提明细表!$I$4:$I$59,计提明细表!$B$4:$B$59,$A6,计提明细表!$T$4:$T$59,$B6,计提明细表!$U$4:$U$59,$C6,计提明细表!$V$4:$V$59,$D6,计提明细表!$W$4:$W$59,$E6&amp;"",计提明细表!$X$4:$X$59,$F6&amp;"")</f>
        <v/>
      </c>
      <c r="K6" s="8">
        <f>COUNTIFS(计提明细表!$B$4:$B$59,$A6,计提明细表!$T$4:$T$59,$B6,计提明细表!$U$4:$U$59,$C6,计提明细表!$V$4:$V$59,$D6,计提明细表!$W$4:$W$59,$E6&amp;"",计提明细表!$X$4:$X$59,$F6&amp;"")</f>
        <v/>
      </c>
      <c r="L6" s="23" t="inlineStr">
        <is>
          <t>1-6月</t>
        </is>
      </c>
    </row>
    <row r="7">
      <c r="A7" s="21" t="inlineStr">
        <is>
          <t>深圳星期零</t>
        </is>
      </c>
      <c r="B7" s="22" t="inlineStr">
        <is>
          <t>6601 销售费用</t>
        </is>
      </c>
      <c r="C7" s="22" t="inlineStr">
        <is>
          <t>永续物流中心 0011401</t>
        </is>
      </c>
      <c r="D7" s="22" t="inlineStr">
        <is>
          <t>出库运费 FYXM008.002其他物流费用002</t>
        </is>
      </c>
      <c r="E7" s="21" t="inlineStr">
        <is>
          <t>CPFL011</t>
        </is>
      </c>
      <c r="F7" s="21" t="inlineStr">
        <is>
          <t>CPXM017</t>
        </is>
      </c>
      <c r="G7" s="21" t="inlineStr">
        <is>
          <t>山姆零售</t>
        </is>
      </c>
      <c r="H7" s="12">
        <f>SUMIFS(计提明细表!$K$4:$K$59,计提明细表!$B$4:$B$59,$A7,计提明细表!$T$4:$T$59,$B7,计提明细表!$U$4:$U$59,$C7,计提明细表!$V$4:$V$59,$D7,计提明细表!$W$4:$W$59,$E7&amp;"",计提明细表!$X$4:$X$59,$F7&amp;"")</f>
        <v/>
      </c>
      <c r="I7" s="12">
        <f>SUMIFS(计提明细表!$L$4:$L$59,计提明细表!$B$4:$B$59,$A7,计提明细表!$T$4:$T$59,$B7,计提明细表!$U$4:$U$59,$C7,计提明细表!$V$4:$V$59,$D7,计提明细表!$W$4:$W$59,$E7&amp;"",计提明细表!$X$4:$X$59,$F7&amp;"")</f>
        <v/>
      </c>
      <c r="J7" s="12">
        <f>SUMIFS(计提明细表!$I$4:$I$59,计提明细表!$B$4:$B$59,$A7,计提明细表!$T$4:$T$59,$B7,计提明细表!$U$4:$U$59,$C7,计提明细表!$V$4:$V$59,$D7,计提明细表!$W$4:$W$59,$E7&amp;"",计提明细表!$X$4:$X$59,$F7&amp;"")</f>
        <v/>
      </c>
      <c r="K7" s="8">
        <f>COUNTIFS(计提明细表!$B$4:$B$59,$A7,计提明细表!$T$4:$T$59,$B7,计提明细表!$U$4:$U$59,$C7,计提明细表!$V$4:$V$59,$D7,计提明细表!$W$4:$W$59,$E7&amp;"",计提明细表!$X$4:$X$59,$F7&amp;"")</f>
        <v/>
      </c>
      <c r="L7" s="23" t="inlineStr">
        <is>
          <t>1-6月</t>
        </is>
      </c>
    </row>
    <row r="8">
      <c r="A8" s="21" t="inlineStr">
        <is>
          <t>深圳星期零</t>
        </is>
      </c>
      <c r="B8" s="22" t="inlineStr">
        <is>
          <t>6601 销售费用</t>
        </is>
      </c>
      <c r="C8" s="22" t="inlineStr">
        <is>
          <t>永续物流中心 0011401</t>
        </is>
      </c>
      <c r="D8" s="22" t="inlineStr">
        <is>
          <t>出库运费 FYXM008.002其他物流费用002</t>
        </is>
      </c>
      <c r="E8" s="21" t="inlineStr">
        <is>
          <t>CPFL008</t>
        </is>
      </c>
      <c r="F8" s="21" t="inlineStr"/>
      <c r="G8" s="21" t="inlineStr">
        <is>
          <t>豆蛋制品</t>
        </is>
      </c>
      <c r="H8" s="12">
        <f>SUMIFS(计提明细表!$K$4:$K$59,计提明细表!$B$4:$B$59,$A8,计提明细表!$T$4:$T$59,$B8,计提明细表!$U$4:$U$59,$C8,计提明细表!$V$4:$V$59,$D8,计提明细表!$W$4:$W$59,$E8&amp;"",计提明细表!$X$4:$X$59,$F8&amp;"")</f>
        <v/>
      </c>
      <c r="I8" s="12">
        <f>SUMIFS(计提明细表!$L$4:$L$59,计提明细表!$B$4:$B$59,$A8,计提明细表!$T$4:$T$59,$B8,计提明细表!$U$4:$U$59,$C8,计提明细表!$V$4:$V$59,$D8,计提明细表!$W$4:$W$59,$E8&amp;"",计提明细表!$X$4:$X$59,$F8&amp;"")</f>
        <v/>
      </c>
      <c r="J8" s="12">
        <f>SUMIFS(计提明细表!$I$4:$I$59,计提明细表!$B$4:$B$59,$A8,计提明细表!$T$4:$T$59,$B8,计提明细表!$U$4:$U$59,$C8,计提明细表!$V$4:$V$59,$D8,计提明细表!$W$4:$W$59,$E8&amp;"",计提明细表!$X$4:$X$59,$F8&amp;"")</f>
        <v/>
      </c>
      <c r="K8" s="8">
        <f>COUNTIFS(计提明细表!$B$4:$B$59,$A8,计提明细表!$T$4:$T$59,$B8,计提明细表!$U$4:$U$59,$C8,计提明细表!$V$4:$V$59,$D8,计提明细表!$W$4:$W$59,$E8&amp;"",计提明细表!$X$4:$X$59,$F8&amp;"")</f>
        <v/>
      </c>
      <c r="L8" s="23" t="inlineStr">
        <is>
          <t>1-6月</t>
        </is>
      </c>
    </row>
    <row r="9">
      <c r="A9" s="21" t="inlineStr">
        <is>
          <t>深圳星期零</t>
        </is>
      </c>
      <c r="B9" s="22" t="inlineStr">
        <is>
          <t>6601 销售费用</t>
        </is>
      </c>
      <c r="C9" s="22" t="inlineStr">
        <is>
          <t>永续物流中心 0011401</t>
        </is>
      </c>
      <c r="D9" s="22" t="inlineStr">
        <is>
          <t>出库运费 FYXM008.002其他物流费用002</t>
        </is>
      </c>
      <c r="E9" s="21" t="inlineStr">
        <is>
          <t>CPFL009</t>
        </is>
      </c>
      <c r="F9" s="21" t="inlineStr"/>
      <c r="G9" s="21" t="inlineStr">
        <is>
          <t>小料</t>
        </is>
      </c>
      <c r="H9" s="12">
        <f>SUMIFS(计提明细表!$K$4:$K$59,计提明细表!$B$4:$B$59,$A9,计提明细表!$T$4:$T$59,$B9,计提明细表!$U$4:$U$59,$C9,计提明细表!$V$4:$V$59,$D9,计提明细表!$W$4:$W$59,$E9&amp;"",计提明细表!$X$4:$X$59,$F9&amp;"")</f>
        <v/>
      </c>
      <c r="I9" s="12">
        <f>SUMIFS(计提明细表!$L$4:$L$59,计提明细表!$B$4:$B$59,$A9,计提明细表!$T$4:$T$59,$B9,计提明细表!$U$4:$U$59,$C9,计提明细表!$V$4:$V$59,$D9,计提明细表!$W$4:$W$59,$E9&amp;"",计提明细表!$X$4:$X$59,$F9&amp;"")</f>
        <v/>
      </c>
      <c r="J9" s="12">
        <f>SUMIFS(计提明细表!$I$4:$I$59,计提明细表!$B$4:$B$59,$A9,计提明细表!$T$4:$T$59,$B9,计提明细表!$U$4:$U$59,$C9,计提明细表!$V$4:$V$59,$D9,计提明细表!$W$4:$W$59,$E9&amp;"",计提明细表!$X$4:$X$59,$F9&amp;"")</f>
        <v/>
      </c>
      <c r="K9" s="8">
        <f>COUNTIFS(计提明细表!$B$4:$B$59,$A9,计提明细表!$T$4:$T$59,$B9,计提明细表!$U$4:$U$59,$C9,计提明细表!$V$4:$V$59,$D9,计提明细表!$W$4:$W$59,$E9&amp;"",计提明细表!$X$4:$X$59,$F9&amp;"")</f>
        <v/>
      </c>
      <c r="L9" s="23" t="inlineStr">
        <is>
          <t>1-6月</t>
        </is>
      </c>
    </row>
    <row r="10">
      <c r="A10" s="21" t="inlineStr">
        <is>
          <t>深圳星期零</t>
        </is>
      </c>
      <c r="B10" s="22" t="inlineStr">
        <is>
          <t>6601 销售费用</t>
        </is>
      </c>
      <c r="C10" s="22" t="inlineStr">
        <is>
          <t>永续物流中心 0011401</t>
        </is>
      </c>
      <c r="D10" s="22" t="inlineStr">
        <is>
          <t>出库运费 FYXM008.002其他物流费用002</t>
        </is>
      </c>
      <c r="E10" s="21" t="inlineStr">
        <is>
          <t>CPFL002</t>
        </is>
      </c>
      <c r="F10" s="21" t="inlineStr"/>
      <c r="G10" s="21" t="inlineStr">
        <is>
          <t>电商</t>
        </is>
      </c>
      <c r="H10" s="12">
        <f>SUMIFS(计提明细表!$K$4:$K$59,计提明细表!$B$4:$B$59,$A10,计提明细表!$T$4:$T$59,$B10,计提明细表!$U$4:$U$59,$C10,计提明细表!$V$4:$V$59,$D10,计提明细表!$W$4:$W$59,$E10&amp;"",计提明细表!$X$4:$X$59,$F10&amp;"")</f>
        <v/>
      </c>
      <c r="I10" s="12">
        <f>SUMIFS(计提明细表!$L$4:$L$59,计提明细表!$B$4:$B$59,$A10,计提明细表!$T$4:$T$59,$B10,计提明细表!$U$4:$U$59,$C10,计提明细表!$V$4:$V$59,$D10,计提明细表!$W$4:$W$59,$E10&amp;"",计提明细表!$X$4:$X$59,$F10&amp;"")</f>
        <v/>
      </c>
      <c r="J10" s="12">
        <f>SUMIFS(计提明细表!$I$4:$I$59,计提明细表!$B$4:$B$59,$A10,计提明细表!$T$4:$T$59,$B10,计提明细表!$U$4:$U$59,$C10,计提明细表!$V$4:$V$59,$D10,计提明细表!$W$4:$W$59,$E10&amp;"",计提明细表!$X$4:$X$59,$F10&amp;"")</f>
        <v/>
      </c>
      <c r="K10" s="8">
        <f>COUNTIFS(计提明细表!$B$4:$B$59,$A10,计提明细表!$T$4:$T$59,$B10,计提明细表!$U$4:$U$59,$C10,计提明细表!$V$4:$V$59,$D10,计提明细表!$W$4:$W$59,$E10&amp;"",计提明细表!$X$4:$X$59,$F10&amp;"")</f>
        <v/>
      </c>
      <c r="L10" s="23" t="inlineStr">
        <is>
          <t>1-6月</t>
        </is>
      </c>
    </row>
    <row r="11">
      <c r="A11" s="21" t="inlineStr">
        <is>
          <t>深圳星期零</t>
        </is>
      </c>
      <c r="B11" s="22" t="inlineStr">
        <is>
          <t>6601 销售费用</t>
        </is>
      </c>
      <c r="C11" s="22" t="inlineStr">
        <is>
          <t>永续物流中心 0011401</t>
        </is>
      </c>
      <c r="D11" s="22" t="inlineStr">
        <is>
          <t>出库运费 FYXM008.002其他物流费用002</t>
        </is>
      </c>
      <c r="E11" s="21" t="inlineStr">
        <is>
          <t>CPFL013</t>
        </is>
      </c>
      <c r="F11" s="21" t="inlineStr">
        <is>
          <t>CPXM022</t>
        </is>
      </c>
      <c r="G11" s="21" t="inlineStr">
        <is>
          <t>kikiherb</t>
        </is>
      </c>
      <c r="H11" s="12">
        <f>SUMIFS(计提明细表!$K$4:$K$59,计提明细表!$B$4:$B$59,$A11,计提明细表!$T$4:$T$59,$B11,计提明细表!$U$4:$U$59,$C11,计提明细表!$V$4:$V$59,$D11,计提明细表!$W$4:$W$59,$E11&amp;"",计提明细表!$X$4:$X$59,$F11&amp;"")</f>
        <v/>
      </c>
      <c r="I11" s="12">
        <f>SUMIFS(计提明细表!$L$4:$L$59,计提明细表!$B$4:$B$59,$A11,计提明细表!$T$4:$T$59,$B11,计提明细表!$U$4:$U$59,$C11,计提明细表!$V$4:$V$59,$D11,计提明细表!$W$4:$W$59,$E11&amp;"",计提明细表!$X$4:$X$59,$F11&amp;"")</f>
        <v/>
      </c>
      <c r="J11" s="12">
        <f>SUMIFS(计提明细表!$I$4:$I$59,计提明细表!$B$4:$B$59,$A11,计提明细表!$T$4:$T$59,$B11,计提明细表!$U$4:$U$59,$C11,计提明细表!$V$4:$V$59,$D11,计提明细表!$W$4:$W$59,$E11&amp;"",计提明细表!$X$4:$X$59,$F11&amp;"")</f>
        <v/>
      </c>
      <c r="K11" s="8">
        <f>COUNTIFS(计提明细表!$B$4:$B$59,$A11,计提明细表!$T$4:$T$59,$B11,计提明细表!$U$4:$U$59,$C11,计提明细表!$V$4:$V$59,$D11,计提明细表!$W$4:$W$59,$E11&amp;"",计提明细表!$X$4:$X$59,$F11&amp;"")</f>
        <v/>
      </c>
      <c r="L11" s="23" t="inlineStr">
        <is>
          <t>6月起</t>
        </is>
      </c>
    </row>
    <row r="12">
      <c r="A12" s="21" t="inlineStr">
        <is>
          <t>深圳星期零</t>
        </is>
      </c>
      <c r="B12" s="22" t="inlineStr">
        <is>
          <t>6601 销售费用</t>
        </is>
      </c>
      <c r="C12" s="22" t="inlineStr">
        <is>
          <t>永续物流中心 0011401</t>
        </is>
      </c>
      <c r="D12" s="22" t="inlineStr">
        <is>
          <t>货物仓储费 FYXM008.002其他物流费用001</t>
        </is>
      </c>
      <c r="E12" s="21" t="inlineStr">
        <is>
          <t>CPFL010</t>
        </is>
      </c>
      <c r="F12" s="21" t="inlineStr">
        <is>
          <t>CPXM017</t>
        </is>
      </c>
      <c r="G12" s="21" t="inlineStr">
        <is>
          <t>鲜食</t>
        </is>
      </c>
      <c r="H12" s="12">
        <f>SUMIFS(计提明细表!$K$4:$K$59,计提明细表!$B$4:$B$59,$A12,计提明细表!$T$4:$T$59,$B12,计提明细表!$U$4:$U$59,$C12,计提明细表!$V$4:$V$59,$D12,计提明细表!$W$4:$W$59,$E12&amp;"",计提明细表!$X$4:$X$59,$F12&amp;"")</f>
        <v/>
      </c>
      <c r="I12" s="12">
        <f>SUMIFS(计提明细表!$L$4:$L$59,计提明细表!$B$4:$B$59,$A12,计提明细表!$T$4:$T$59,$B12,计提明细表!$U$4:$U$59,$C12,计提明细表!$V$4:$V$59,$D12,计提明细表!$W$4:$W$59,$E12&amp;"",计提明细表!$X$4:$X$59,$F12&amp;"")</f>
        <v/>
      </c>
      <c r="J12" s="12">
        <f>SUMIFS(计提明细表!$I$4:$I$59,计提明细表!$B$4:$B$59,$A12,计提明细表!$T$4:$T$59,$B12,计提明细表!$U$4:$U$59,$C12,计提明细表!$V$4:$V$59,$D12,计提明细表!$W$4:$W$59,$E12&amp;"",计提明细表!$X$4:$X$59,$F12&amp;"")</f>
        <v/>
      </c>
      <c r="K12" s="8">
        <f>COUNTIFS(计提明细表!$B$4:$B$59,$A12,计提明细表!$T$4:$T$59,$B12,计提明细表!$U$4:$U$59,$C12,计提明细表!$V$4:$V$59,$D12,计提明细表!$W$4:$W$59,$E12&amp;"",计提明细表!$X$4:$X$59,$F12&amp;"")</f>
        <v/>
      </c>
      <c r="L12" s="23" t="inlineStr">
        <is>
          <t>3-4月</t>
        </is>
      </c>
    </row>
    <row r="13">
      <c r="A13" s="21" t="inlineStr">
        <is>
          <t>深圳星期零</t>
        </is>
      </c>
      <c r="B13" s="22" t="inlineStr">
        <is>
          <t>6601 销售费用</t>
        </is>
      </c>
      <c r="C13" s="22" t="inlineStr">
        <is>
          <t>永续物流中心 0011401</t>
        </is>
      </c>
      <c r="D13" s="22" t="inlineStr">
        <is>
          <t>货物仓储费 FYXM008.002其他物流费用001</t>
        </is>
      </c>
      <c r="E13" s="21" t="inlineStr">
        <is>
          <t>CPFL011</t>
        </is>
      </c>
      <c r="F13" s="21" t="inlineStr"/>
      <c r="G13" s="21" t="inlineStr">
        <is>
          <t>零售</t>
        </is>
      </c>
      <c r="H13" s="12">
        <f>SUMIFS(计提明细表!$K$4:$K$59,计提明细表!$B$4:$B$59,$A13,计提明细表!$T$4:$T$59,$B13,计提明细表!$U$4:$U$59,$C13,计提明细表!$V$4:$V$59,$D13,计提明细表!$W$4:$W$59,$E13&amp;"",计提明细表!$X$4:$X$59,$F13&amp;"")</f>
        <v/>
      </c>
      <c r="I13" s="12">
        <f>SUMIFS(计提明细表!$L$4:$L$59,计提明细表!$B$4:$B$59,$A13,计提明细表!$T$4:$T$59,$B13,计提明细表!$U$4:$U$59,$C13,计提明细表!$V$4:$V$59,$D13,计提明细表!$W$4:$W$59,$E13&amp;"",计提明细表!$X$4:$X$59,$F13&amp;"")</f>
        <v/>
      </c>
      <c r="J13" s="12">
        <f>SUMIFS(计提明细表!$I$4:$I$59,计提明细表!$B$4:$B$59,$A13,计提明细表!$T$4:$T$59,$B13,计提明细表!$U$4:$U$59,$C13,计提明细表!$V$4:$V$59,$D13,计提明细表!$W$4:$W$59,$E13&amp;"",计提明细表!$X$4:$X$59,$F13&amp;"")</f>
        <v/>
      </c>
      <c r="K13" s="8">
        <f>COUNTIFS(计提明细表!$B$4:$B$59,$A13,计提明细表!$T$4:$T$59,$B13,计提明细表!$U$4:$U$59,$C13,计提明细表!$V$4:$V$59,$D13,计提明细表!$W$4:$W$59,$E13&amp;"",计提明细表!$X$4:$X$59,$F13&amp;"")</f>
        <v/>
      </c>
      <c r="L13" s="23" t="inlineStr">
        <is>
          <t>1月</t>
        </is>
      </c>
    </row>
    <row r="14">
      <c r="A14" s="21" t="inlineStr">
        <is>
          <t>深圳星期零</t>
        </is>
      </c>
      <c r="B14" s="22" t="inlineStr">
        <is>
          <t>6604 研发费用</t>
        </is>
      </c>
      <c r="C14" s="22" t="inlineStr">
        <is>
          <t>永续研发中心 0010506</t>
        </is>
      </c>
      <c r="D14" s="22" t="inlineStr">
        <is>
          <t>研发外购 FYXM005.002研发费用001</t>
        </is>
      </c>
      <c r="E14" s="21" t="inlineStr"/>
      <c r="F14" s="21" t="inlineStr"/>
      <c r="G14" s="21" t="inlineStr">
        <is>
          <t>—</t>
        </is>
      </c>
      <c r="H14" s="12">
        <f>SUMIFS(计提明细表!$K$4:$K$59,计提明细表!$B$4:$B$59,$A14,计提明细表!$T$4:$T$59,$B14,计提明细表!$U$4:$U$59,$C14,计提明细表!$V$4:$V$59,$D14,计提明细表!$W$4:$W$59,$E14&amp;"",计提明细表!$X$4:$X$59,$F14&amp;"")</f>
        <v/>
      </c>
      <c r="I14" s="12">
        <f>SUMIFS(计提明细表!$L$4:$L$59,计提明细表!$B$4:$B$59,$A14,计提明细表!$T$4:$T$59,$B14,计提明细表!$U$4:$U$59,$C14,计提明细表!$V$4:$V$59,$D14,计提明细表!$W$4:$W$59,$E14&amp;"",计提明细表!$X$4:$X$59,$F14&amp;"")</f>
        <v/>
      </c>
      <c r="J14" s="12">
        <f>SUMIFS(计提明细表!$I$4:$I$59,计提明细表!$B$4:$B$59,$A14,计提明细表!$T$4:$T$59,$B14,计提明细表!$U$4:$U$59,$C14,计提明细表!$V$4:$V$59,$D14,计提明细表!$W$4:$W$59,$E14&amp;"",计提明细表!$X$4:$X$59,$F14&amp;"")</f>
        <v/>
      </c>
      <c r="K14" s="8">
        <f>COUNTIFS(计提明细表!$B$4:$B$59,$A14,计提明细表!$T$4:$T$59,$B14,计提明细表!$U$4:$U$59,$C14,计提明细表!$V$4:$V$59,$D14,计提明细表!$W$4:$W$59,$E14&amp;"",计提明细表!$X$4:$X$59,$F14&amp;"")</f>
        <v/>
      </c>
      <c r="L14" s="23" t="inlineStr">
        <is>
          <t>2-6月</t>
        </is>
      </c>
    </row>
    <row r="15">
      <c r="A15" s="21" t="inlineStr">
        <is>
          <t>深圳星期零</t>
        </is>
      </c>
      <c r="B15" s="22" t="inlineStr">
        <is>
          <t>6604 研发费用</t>
        </is>
      </c>
      <c r="C15" s="22" t="inlineStr">
        <is>
          <t>永续研发中心 0010506</t>
        </is>
      </c>
      <c r="D15" s="22" t="inlineStr">
        <is>
          <t>搬运费 FYXM005.003其他业务活动005</t>
        </is>
      </c>
      <c r="E15" s="21" t="inlineStr"/>
      <c r="F15" s="21" t="inlineStr"/>
      <c r="G15" s="21" t="inlineStr">
        <is>
          <t>—(设备)</t>
        </is>
      </c>
      <c r="H15" s="12">
        <f>SUMIFS(计提明细表!$K$4:$K$59,计提明细表!$B$4:$B$59,$A15,计提明细表!$T$4:$T$59,$B15,计提明细表!$U$4:$U$59,$C15,计提明细表!$V$4:$V$59,$D15,计提明细表!$W$4:$W$59,$E15&amp;"",计提明细表!$X$4:$X$59,$F15&amp;"")</f>
        <v/>
      </c>
      <c r="I15" s="12">
        <f>SUMIFS(计提明细表!$L$4:$L$59,计提明细表!$B$4:$B$59,$A15,计提明细表!$T$4:$T$59,$B15,计提明细表!$U$4:$U$59,$C15,计提明细表!$V$4:$V$59,$D15,计提明细表!$W$4:$W$59,$E15&amp;"",计提明细表!$X$4:$X$59,$F15&amp;"")</f>
        <v/>
      </c>
      <c r="J15" s="12">
        <f>SUMIFS(计提明细表!$I$4:$I$59,计提明细表!$B$4:$B$59,$A15,计提明细表!$T$4:$T$59,$B15,计提明细表!$U$4:$U$59,$C15,计提明细表!$V$4:$V$59,$D15,计提明细表!$W$4:$W$59,$E15&amp;"",计提明细表!$X$4:$X$59,$F15&amp;"")</f>
        <v/>
      </c>
      <c r="K15" s="8">
        <f>COUNTIFS(计提明细表!$B$4:$B$59,$A15,计提明细表!$T$4:$T$59,$B15,计提明细表!$U$4:$U$59,$C15,计提明细表!$V$4:$V$59,$D15,计提明细表!$W$4:$W$59,$E15&amp;"",计提明细表!$X$4:$X$59,$F15&amp;"")</f>
        <v/>
      </c>
      <c r="L15" s="23" t="inlineStr">
        <is>
          <t>4,7月</t>
        </is>
      </c>
    </row>
    <row r="16">
      <c r="A16" s="21" t="inlineStr">
        <is>
          <t>深圳星期九</t>
        </is>
      </c>
      <c r="B16" s="22" t="inlineStr">
        <is>
          <t>6601 销售费用</t>
        </is>
      </c>
      <c r="C16" s="22" t="inlineStr">
        <is>
          <t>永续供应中心 0010401</t>
        </is>
      </c>
      <c r="D16" s="22" t="inlineStr">
        <is>
          <t>出库运费 FYXM008.002其他物流费用002</t>
        </is>
      </c>
      <c r="E16" s="21" t="inlineStr">
        <is>
          <t>CPFL009</t>
        </is>
      </c>
      <c r="F16" s="21" t="inlineStr"/>
      <c r="G16" s="21" t="inlineStr">
        <is>
          <t>小料</t>
        </is>
      </c>
      <c r="H16" s="12">
        <f>SUMIFS(计提明细表!$K$4:$K$59,计提明细表!$B$4:$B$59,$A16,计提明细表!$T$4:$T$59,$B16,计提明细表!$U$4:$U$59,$C16,计提明细表!$V$4:$V$59,$D16,计提明细表!$W$4:$W$59,$E16&amp;"",计提明细表!$X$4:$X$59,$F16&amp;"")</f>
        <v/>
      </c>
      <c r="I16" s="12">
        <f>SUMIFS(计提明细表!$L$4:$L$59,计提明细表!$B$4:$B$59,$A16,计提明细表!$T$4:$T$59,$B16,计提明细表!$U$4:$U$59,$C16,计提明细表!$V$4:$V$59,$D16,计提明细表!$W$4:$W$59,$E16&amp;"",计提明细表!$X$4:$X$59,$F16&amp;"")</f>
        <v/>
      </c>
      <c r="J16" s="12">
        <f>SUMIFS(计提明细表!$I$4:$I$59,计提明细表!$B$4:$B$59,$A16,计提明细表!$T$4:$T$59,$B16,计提明细表!$U$4:$U$59,$C16,计提明细表!$V$4:$V$59,$D16,计提明细表!$W$4:$W$59,$E16&amp;"",计提明细表!$X$4:$X$59,$F16&amp;"")</f>
        <v/>
      </c>
      <c r="K16" s="8">
        <f>COUNTIFS(计提明细表!$B$4:$B$59,$A16,计提明细表!$T$4:$T$59,$B16,计提明细表!$U$4:$U$59,$C16,计提明细表!$V$4:$V$59,$D16,计提明细表!$W$4:$W$59,$E16&amp;"",计提明细表!$X$4:$X$59,$F16&amp;"")</f>
        <v/>
      </c>
      <c r="L16" s="23" t="inlineStr">
        <is>
          <t>1-6月</t>
        </is>
      </c>
    </row>
    <row r="17">
      <c r="A17" s="21" t="inlineStr">
        <is>
          <t>孝感星期九</t>
        </is>
      </c>
      <c r="B17" s="22" t="inlineStr">
        <is>
          <t>5101 制造费用</t>
        </is>
      </c>
      <c r="C17" s="22" t="inlineStr">
        <is>
          <t>茶饮小料部 0030902</t>
        </is>
      </c>
      <c r="D17" s="22" t="inlineStr">
        <is>
          <t>入库运费 FYXM002.002运费成本002</t>
        </is>
      </c>
      <c r="E17" s="21" t="inlineStr"/>
      <c r="F17" s="21" t="inlineStr"/>
      <c r="G17" s="21" t="inlineStr">
        <is>
          <t>—(小料入库)</t>
        </is>
      </c>
      <c r="H17" s="12">
        <f>SUMIFS(计提明细表!$K$4:$K$59,计提明细表!$B$4:$B$59,$A17,计提明细表!$T$4:$T$59,$B17,计提明细表!$U$4:$U$59,$C17,计提明细表!$V$4:$V$59,$D17,计提明细表!$W$4:$W$59,$E17&amp;"",计提明细表!$X$4:$X$59,$F17&amp;"")</f>
        <v/>
      </c>
      <c r="I17" s="12">
        <f>SUMIFS(计提明细表!$L$4:$L$59,计提明细表!$B$4:$B$59,$A17,计提明细表!$T$4:$T$59,$B17,计提明细表!$U$4:$U$59,$C17,计提明细表!$V$4:$V$59,$D17,计提明细表!$W$4:$W$59,$E17&amp;"",计提明细表!$X$4:$X$59,$F17&amp;"")</f>
        <v/>
      </c>
      <c r="J17" s="12">
        <f>SUMIFS(计提明细表!$I$4:$I$59,计提明细表!$B$4:$B$59,$A17,计提明细表!$T$4:$T$59,$B17,计提明细表!$U$4:$U$59,$C17,计提明细表!$V$4:$V$59,$D17,计提明细表!$W$4:$W$59,$E17&amp;"",计提明细表!$X$4:$X$59,$F17&amp;"")</f>
        <v/>
      </c>
      <c r="K17" s="8">
        <f>COUNTIFS(计提明细表!$B$4:$B$59,$A17,计提明细表!$T$4:$T$59,$B17,计提明细表!$U$4:$U$59,$C17,计提明细表!$V$4:$V$59,$D17,计提明细表!$W$4:$W$59,$E17&amp;"",计提明细表!$X$4:$X$59,$F17&amp;"")</f>
        <v/>
      </c>
      <c r="L17" s="23" t="inlineStr">
        <is>
          <t>1-7月</t>
        </is>
      </c>
    </row>
    <row r="18">
      <c r="A18" s="21" t="inlineStr">
        <is>
          <t>孝感星期九</t>
        </is>
      </c>
      <c r="B18" s="22" t="inlineStr">
        <is>
          <t>5101 制造费用</t>
        </is>
      </c>
      <c r="C18" s="22" t="inlineStr">
        <is>
          <t>仓储物流部 0030301</t>
        </is>
      </c>
      <c r="D18" s="22" t="inlineStr">
        <is>
          <t>入库运费 FYXM002.002运费成本002</t>
        </is>
      </c>
      <c r="E18" s="21" t="inlineStr"/>
      <c r="F18" s="21" t="inlineStr"/>
      <c r="G18" s="21" t="inlineStr">
        <is>
          <t>—(工厂入库)</t>
        </is>
      </c>
      <c r="H18" s="12">
        <f>SUMIFS(计提明细表!$K$4:$K$59,计提明细表!$B$4:$B$59,$A18,计提明细表!$T$4:$T$59,$B18,计提明细表!$U$4:$U$59,$C18,计提明细表!$V$4:$V$59,$D18,计提明细表!$W$4:$W$59,$E18&amp;"",计提明细表!$X$4:$X$59,$F18&amp;"")</f>
        <v/>
      </c>
      <c r="I18" s="12">
        <f>SUMIFS(计提明细表!$L$4:$L$59,计提明细表!$B$4:$B$59,$A18,计提明细表!$T$4:$T$59,$B18,计提明细表!$U$4:$U$59,$C18,计提明细表!$V$4:$V$59,$D18,计提明细表!$W$4:$W$59,$E18&amp;"",计提明细表!$X$4:$X$59,$F18&amp;"")</f>
        <v/>
      </c>
      <c r="J18" s="12">
        <f>SUMIFS(计提明细表!$I$4:$I$59,计提明细表!$B$4:$B$59,$A18,计提明细表!$T$4:$T$59,$B18,计提明细表!$U$4:$U$59,$C18,计提明细表!$V$4:$V$59,$D18,计提明细表!$W$4:$W$59,$E18&amp;"",计提明细表!$X$4:$X$59,$F18&amp;"")</f>
        <v/>
      </c>
      <c r="K18" s="8">
        <f>COUNTIFS(计提明细表!$B$4:$B$59,$A18,计提明细表!$T$4:$T$59,$B18,计提明细表!$U$4:$U$59,$C18,计提明细表!$V$4:$V$59,$D18,计提明细表!$W$4:$W$59,$E18&amp;"",计提明细表!$X$4:$X$59,$F18&amp;"")</f>
        <v/>
      </c>
      <c r="L18" s="23" t="inlineStr">
        <is>
          <t>1-6月</t>
        </is>
      </c>
    </row>
    <row r="19">
      <c r="A19" s="21" t="inlineStr">
        <is>
          <t>孝感星期九</t>
        </is>
      </c>
      <c r="B19" s="22" t="inlineStr">
        <is>
          <t>5101 制造费用</t>
        </is>
      </c>
      <c r="C19" s="22" t="inlineStr">
        <is>
          <t>仓储物流部 0030301</t>
        </is>
      </c>
      <c r="D19" s="22" t="inlineStr">
        <is>
          <t>搬运费 FYXM005.003其他业务活动005</t>
        </is>
      </c>
      <c r="E19" s="21" t="inlineStr"/>
      <c r="F19" s="21" t="inlineStr"/>
      <c r="G19" s="21" t="inlineStr">
        <is>
          <t>—(设备)</t>
        </is>
      </c>
      <c r="H19" s="12">
        <f>SUMIFS(计提明细表!$K$4:$K$59,计提明细表!$B$4:$B$59,$A19,计提明细表!$T$4:$T$59,$B19,计提明细表!$U$4:$U$59,$C19,计提明细表!$V$4:$V$59,$D19,计提明细表!$W$4:$W$59,$E19&amp;"",计提明细表!$X$4:$X$59,$F19&amp;"")</f>
        <v/>
      </c>
      <c r="I19" s="12">
        <f>SUMIFS(计提明细表!$L$4:$L$59,计提明细表!$B$4:$B$59,$A19,计提明细表!$T$4:$T$59,$B19,计提明细表!$U$4:$U$59,$C19,计提明细表!$V$4:$V$59,$D19,计提明细表!$W$4:$W$59,$E19&amp;"",计提明细表!$X$4:$X$59,$F19&amp;"")</f>
        <v/>
      </c>
      <c r="J19" s="12">
        <f>SUMIFS(计提明细表!$I$4:$I$59,计提明细表!$B$4:$B$59,$A19,计提明细表!$T$4:$T$59,$B19,计提明细表!$U$4:$U$59,$C19,计提明细表!$V$4:$V$59,$D19,计提明细表!$W$4:$W$59,$E19&amp;"",计提明细表!$X$4:$X$59,$F19&amp;"")</f>
        <v/>
      </c>
      <c r="K19" s="8">
        <f>COUNTIFS(计提明细表!$B$4:$B$59,$A19,计提明细表!$T$4:$T$59,$B19,计提明细表!$U$4:$U$59,$C19,计提明细表!$V$4:$V$59,$D19,计提明细表!$W$4:$W$59,$E19&amp;"",计提明细表!$X$4:$X$59,$F19&amp;"")</f>
        <v/>
      </c>
      <c r="L19" s="23" t="inlineStr">
        <is>
          <t>5月</t>
        </is>
      </c>
    </row>
    <row r="20">
      <c r="A20" s="21" t="inlineStr">
        <is>
          <t>孝感星期九</t>
        </is>
      </c>
      <c r="B20" s="22" t="inlineStr">
        <is>
          <t>6401 主营业务成本</t>
        </is>
      </c>
      <c r="C20" s="22" t="inlineStr">
        <is>
          <t>仓储物流部 0030301</t>
        </is>
      </c>
      <c r="D20" s="22" t="inlineStr">
        <is>
          <t>入库运费 FYXM002.002运费成本002</t>
        </is>
      </c>
      <c r="E20" s="21" t="inlineStr">
        <is>
          <t>CPFL010</t>
        </is>
      </c>
      <c r="F20" s="21" t="inlineStr">
        <is>
          <t>CPXM017</t>
        </is>
      </c>
      <c r="G20" s="21" t="inlineStr">
        <is>
          <t>鲜食</t>
        </is>
      </c>
      <c r="H20" s="12">
        <f>SUMIFS(计提明细表!$K$4:$K$59,计提明细表!$B$4:$B$59,$A20,计提明细表!$T$4:$T$59,$B20,计提明细表!$U$4:$U$59,$C20,计提明细表!$V$4:$V$59,$D20,计提明细表!$W$4:$W$59,$E20&amp;"",计提明细表!$X$4:$X$59,$F20&amp;"")</f>
        <v/>
      </c>
      <c r="I20" s="12">
        <f>SUMIFS(计提明细表!$L$4:$L$59,计提明细表!$B$4:$B$59,$A20,计提明细表!$T$4:$T$59,$B20,计提明细表!$U$4:$U$59,$C20,计提明细表!$V$4:$V$59,$D20,计提明细表!$W$4:$W$59,$E20&amp;"",计提明细表!$X$4:$X$59,$F20&amp;"")</f>
        <v/>
      </c>
      <c r="J20" s="12">
        <f>SUMIFS(计提明细表!$I$4:$I$59,计提明细表!$B$4:$B$59,$A20,计提明细表!$T$4:$T$59,$B20,计提明细表!$U$4:$U$59,$C20,计提明细表!$V$4:$V$59,$D20,计提明细表!$W$4:$W$59,$E20&amp;"",计提明细表!$X$4:$X$59,$F20&amp;"")</f>
        <v/>
      </c>
      <c r="K20" s="8">
        <f>COUNTIFS(计提明细表!$B$4:$B$59,$A20,计提明细表!$T$4:$T$59,$B20,计提明细表!$U$4:$U$59,$C20,计提明细表!$V$4:$V$59,$D20,计提明细表!$W$4:$W$59,$E20&amp;"",计提明细表!$X$4:$X$59,$F20&amp;"")</f>
        <v/>
      </c>
      <c r="L20" s="23" t="inlineStr">
        <is>
          <t>1-6月</t>
        </is>
      </c>
    </row>
    <row r="21">
      <c r="A21" s="21" t="inlineStr">
        <is>
          <t>孝感星期九</t>
        </is>
      </c>
      <c r="B21" s="22" t="inlineStr">
        <is>
          <t>6401 主营业务成本</t>
        </is>
      </c>
      <c r="C21" s="22" t="inlineStr">
        <is>
          <t>仓储物流部 0030301</t>
        </is>
      </c>
      <c r="D21" s="22" t="inlineStr">
        <is>
          <t>入库运费 FYXM002.002运费成本002</t>
        </is>
      </c>
      <c r="E21" s="21" t="inlineStr">
        <is>
          <t>CPFL007</t>
        </is>
      </c>
      <c r="F21" s="21" t="inlineStr"/>
      <c r="G21" s="21" t="inlineStr">
        <is>
          <t>植物肉</t>
        </is>
      </c>
      <c r="H21" s="12">
        <f>SUMIFS(计提明细表!$K$4:$K$59,计提明细表!$B$4:$B$59,$A21,计提明细表!$T$4:$T$59,$B21,计提明细表!$U$4:$U$59,$C21,计提明细表!$V$4:$V$59,$D21,计提明细表!$W$4:$W$59,$E21&amp;"",计提明细表!$X$4:$X$59,$F21&amp;"")</f>
        <v/>
      </c>
      <c r="I21" s="12">
        <f>SUMIFS(计提明细表!$L$4:$L$59,计提明细表!$B$4:$B$59,$A21,计提明细表!$T$4:$T$59,$B21,计提明细表!$U$4:$U$59,$C21,计提明细表!$V$4:$V$59,$D21,计提明细表!$W$4:$W$59,$E21&amp;"",计提明细表!$X$4:$X$59,$F21&amp;"")</f>
        <v/>
      </c>
      <c r="J21" s="12">
        <f>SUMIFS(计提明细表!$I$4:$I$59,计提明细表!$B$4:$B$59,$A21,计提明细表!$T$4:$T$59,$B21,计提明细表!$U$4:$U$59,$C21,计提明细表!$V$4:$V$59,$D21,计提明细表!$W$4:$W$59,$E21&amp;"",计提明细表!$X$4:$X$59,$F21&amp;"")</f>
        <v/>
      </c>
      <c r="K21" s="8">
        <f>COUNTIFS(计提明细表!$B$4:$B$59,$A21,计提明细表!$T$4:$T$59,$B21,计提明细表!$U$4:$U$59,$C21,计提明细表!$V$4:$V$59,$D21,计提明细表!$W$4:$W$59,$E21&amp;"",计提明细表!$X$4:$X$59,$F21&amp;"")</f>
        <v/>
      </c>
      <c r="L21" s="23" t="inlineStr">
        <is>
          <t>2-6月</t>
        </is>
      </c>
    </row>
    <row r="22">
      <c r="A22" s="21" t="inlineStr">
        <is>
          <t>孝感星期九</t>
        </is>
      </c>
      <c r="B22" s="22" t="inlineStr">
        <is>
          <t>6401 主营业务成本</t>
        </is>
      </c>
      <c r="C22" s="22" t="inlineStr">
        <is>
          <t>仓储物流部 0030301</t>
        </is>
      </c>
      <c r="D22" s="22" t="inlineStr">
        <is>
          <t>入库运费 FYXM002.002运费成本002</t>
        </is>
      </c>
      <c r="E22" s="21" t="inlineStr">
        <is>
          <t>CPFL011</t>
        </is>
      </c>
      <c r="F22" s="21" t="inlineStr"/>
      <c r="G22" s="21" t="inlineStr">
        <is>
          <t>零售</t>
        </is>
      </c>
      <c r="H22" s="12">
        <f>SUMIFS(计提明细表!$K$4:$K$59,计提明细表!$B$4:$B$59,$A22,计提明细表!$T$4:$T$59,$B22,计提明细表!$U$4:$U$59,$C22,计提明细表!$V$4:$V$59,$D22,计提明细表!$W$4:$W$59,$E22&amp;"",计提明细表!$X$4:$X$59,$F22&amp;"")</f>
        <v/>
      </c>
      <c r="I22" s="12">
        <f>SUMIFS(计提明细表!$L$4:$L$59,计提明细表!$B$4:$B$59,$A22,计提明细表!$T$4:$T$59,$B22,计提明细表!$U$4:$U$59,$C22,计提明细表!$V$4:$V$59,$D22,计提明细表!$W$4:$W$59,$E22&amp;"",计提明细表!$X$4:$X$59,$F22&amp;"")</f>
        <v/>
      </c>
      <c r="J22" s="12">
        <f>SUMIFS(计提明细表!$I$4:$I$59,计提明细表!$B$4:$B$59,$A22,计提明细表!$T$4:$T$59,$B22,计提明细表!$U$4:$U$59,$C22,计提明细表!$V$4:$V$59,$D22,计提明细表!$W$4:$W$59,$E22&amp;"",计提明细表!$X$4:$X$59,$F22&amp;"")</f>
        <v/>
      </c>
      <c r="K22" s="8">
        <f>COUNTIFS(计提明细表!$B$4:$B$59,$A22,计提明细表!$T$4:$T$59,$B22,计提明细表!$U$4:$U$59,$C22,计提明细表!$V$4:$V$59,$D22,计提明细表!$W$4:$W$59,$E22&amp;"",计提明细表!$X$4:$X$59,$F22&amp;"")</f>
        <v/>
      </c>
      <c r="L22" s="23" t="inlineStr">
        <is>
          <t>1,5月</t>
        </is>
      </c>
    </row>
    <row r="23">
      <c r="A23" s="21" t="inlineStr">
        <is>
          <t>孝感星期九</t>
        </is>
      </c>
      <c r="B23" s="22" t="inlineStr">
        <is>
          <t>6401 主营业务成本</t>
        </is>
      </c>
      <c r="C23" s="22" t="inlineStr">
        <is>
          <t>仓储物流部 0030301</t>
        </is>
      </c>
      <c r="D23" s="22" t="inlineStr">
        <is>
          <t>入库运费 FYXM002.002运费成本002</t>
        </is>
      </c>
      <c r="E23" s="21" t="inlineStr">
        <is>
          <t>CPFL011</t>
        </is>
      </c>
      <c r="F23" s="21" t="inlineStr">
        <is>
          <t>CPXM017</t>
        </is>
      </c>
      <c r="G23" s="21" t="inlineStr">
        <is>
          <t>山姆零售</t>
        </is>
      </c>
      <c r="H23" s="12">
        <f>SUMIFS(计提明细表!$K$4:$K$59,计提明细表!$B$4:$B$59,$A23,计提明细表!$T$4:$T$59,$B23,计提明细表!$U$4:$U$59,$C23,计提明细表!$V$4:$V$59,$D23,计提明细表!$W$4:$W$59,$E23&amp;"",计提明细表!$X$4:$X$59,$F23&amp;"")</f>
        <v/>
      </c>
      <c r="I23" s="12">
        <f>SUMIFS(计提明细表!$L$4:$L$59,计提明细表!$B$4:$B$59,$A23,计提明细表!$T$4:$T$59,$B23,计提明细表!$U$4:$U$59,$C23,计提明细表!$V$4:$V$59,$D23,计提明细表!$W$4:$W$59,$E23&amp;"",计提明细表!$X$4:$X$59,$F23&amp;"")</f>
        <v/>
      </c>
      <c r="J23" s="12">
        <f>SUMIFS(计提明细表!$I$4:$I$59,计提明细表!$B$4:$B$59,$A23,计提明细表!$T$4:$T$59,$B23,计提明细表!$U$4:$U$59,$C23,计提明细表!$V$4:$V$59,$D23,计提明细表!$W$4:$W$59,$E23&amp;"",计提明细表!$X$4:$X$59,$F23&amp;"")</f>
        <v/>
      </c>
      <c r="K23" s="8">
        <f>COUNTIFS(计提明细表!$B$4:$B$59,$A23,计提明细表!$T$4:$T$59,$B23,计提明细表!$U$4:$U$59,$C23,计提明细表!$V$4:$V$59,$D23,计提明细表!$W$4:$W$59,$E23&amp;"",计提明细表!$X$4:$X$59,$F23&amp;"")</f>
        <v/>
      </c>
      <c r="L23" s="23" t="inlineStr">
        <is>
          <t>5月</t>
        </is>
      </c>
    </row>
    <row r="24">
      <c r="A24" s="21" t="inlineStr">
        <is>
          <t>孝感星期九</t>
        </is>
      </c>
      <c r="B24" s="22" t="inlineStr">
        <is>
          <t>6601 销售费用</t>
        </is>
      </c>
      <c r="C24" s="22" t="inlineStr">
        <is>
          <t>仓储物流部 0030301</t>
        </is>
      </c>
      <c r="D24" s="22" t="inlineStr">
        <is>
          <t>货物仓储费 FYXM008.002其他物流费用001</t>
        </is>
      </c>
      <c r="E24" s="21" t="inlineStr">
        <is>
          <t>CPFL009</t>
        </is>
      </c>
      <c r="F24" s="21" t="inlineStr"/>
      <c r="G24" s="21" t="inlineStr">
        <is>
          <t>小料(线下外仓)</t>
        </is>
      </c>
      <c r="H24" s="12">
        <f>SUMIFS(计提明细表!$K$4:$K$59,计提明细表!$B$4:$B$59,$A24,计提明细表!$T$4:$T$59,$B24,计提明细表!$U$4:$U$59,$C24,计提明细表!$V$4:$V$59,$D24,计提明细表!$W$4:$W$59,$E24&amp;"",计提明细表!$X$4:$X$59,$F24&amp;"")</f>
        <v/>
      </c>
      <c r="I24" s="12">
        <f>SUMIFS(计提明细表!$L$4:$L$59,计提明细表!$B$4:$B$59,$A24,计提明细表!$T$4:$T$59,$B24,计提明细表!$U$4:$U$59,$C24,计提明细表!$V$4:$V$59,$D24,计提明细表!$W$4:$W$59,$E24&amp;"",计提明细表!$X$4:$X$59,$F24&amp;"")</f>
        <v/>
      </c>
      <c r="J24" s="12">
        <f>SUMIFS(计提明细表!$I$4:$I$59,计提明细表!$B$4:$B$59,$A24,计提明细表!$T$4:$T$59,$B24,计提明细表!$U$4:$U$59,$C24,计提明细表!$V$4:$V$59,$D24,计提明细表!$W$4:$W$59,$E24&amp;"",计提明细表!$X$4:$X$59,$F24&amp;"")</f>
        <v/>
      </c>
      <c r="K24" s="8">
        <f>COUNTIFS(计提明细表!$B$4:$B$59,$A24,计提明细表!$T$4:$T$59,$B24,计提明细表!$U$4:$U$59,$C24,计提明细表!$V$4:$V$59,$D24,计提明细表!$W$4:$W$59,$E24&amp;"",计提明细表!$X$4:$X$59,$F24&amp;"")</f>
        <v/>
      </c>
      <c r="L24" s="23" t="inlineStr">
        <is>
          <t>1-6月</t>
        </is>
      </c>
    </row>
    <row r="25">
      <c r="A25" s="21" t="inlineStr">
        <is>
          <t>孝感星期九</t>
        </is>
      </c>
      <c r="B25" s="22" t="inlineStr">
        <is>
          <t>6601 销售费用</t>
        </is>
      </c>
      <c r="C25" s="22" t="inlineStr">
        <is>
          <t>永续物流中心 0011401</t>
        </is>
      </c>
      <c r="D25" s="22" t="inlineStr">
        <is>
          <t>货物仓储费 FYXM008.002其他物流费用001</t>
        </is>
      </c>
      <c r="E25" s="21" t="inlineStr">
        <is>
          <t>CPFL002</t>
        </is>
      </c>
      <c r="F25" s="21" t="inlineStr"/>
      <c r="G25" s="21" t="inlineStr">
        <is>
          <t>电商(电商仓)</t>
        </is>
      </c>
      <c r="H25" s="12">
        <f>SUMIFS(计提明细表!$K$4:$K$59,计提明细表!$B$4:$B$59,$A25,计提明细表!$T$4:$T$59,$B25,计提明细表!$U$4:$U$59,$C25,计提明细表!$V$4:$V$59,$D25,计提明细表!$W$4:$W$59,$E25&amp;"",计提明细表!$X$4:$X$59,$F25&amp;"")</f>
        <v/>
      </c>
      <c r="I25" s="12">
        <f>SUMIFS(计提明细表!$L$4:$L$59,计提明细表!$B$4:$B$59,$A25,计提明细表!$T$4:$T$59,$B25,计提明细表!$U$4:$U$59,$C25,计提明细表!$V$4:$V$59,$D25,计提明细表!$W$4:$W$59,$E25&amp;"",计提明细表!$X$4:$X$59,$F25&amp;"")</f>
        <v/>
      </c>
      <c r="J25" s="12">
        <f>SUMIFS(计提明细表!$I$4:$I$59,计提明细表!$B$4:$B$59,$A25,计提明细表!$T$4:$T$59,$B25,计提明细表!$U$4:$U$59,$C25,计提明细表!$V$4:$V$59,$D25,计提明细表!$W$4:$W$59,$E25&amp;"",计提明细表!$X$4:$X$59,$F25&amp;"")</f>
        <v/>
      </c>
      <c r="K25" s="8">
        <f>COUNTIFS(计提明细表!$B$4:$B$59,$A25,计提明细表!$T$4:$T$59,$B25,计提明细表!$U$4:$U$59,$C25,计提明细表!$V$4:$V$59,$D25,计提明细表!$W$4:$W$59,$E25&amp;"",计提明细表!$X$4:$X$59,$F25&amp;"")</f>
        <v/>
      </c>
      <c r="L25" s="23" t="inlineStr">
        <is>
          <t>1-6月</t>
        </is>
      </c>
    </row>
    <row r="26">
      <c r="A26" s="21" t="inlineStr">
        <is>
          <t>孝感星期九</t>
        </is>
      </c>
      <c r="B26" s="22" t="inlineStr">
        <is>
          <t>6601 销售费用</t>
        </is>
      </c>
      <c r="C26" s="22" t="inlineStr">
        <is>
          <t>永续物流中心 0011401</t>
        </is>
      </c>
      <c r="D26" s="22" t="inlineStr">
        <is>
          <t>货物仓储费 FYXM008.002其他物流费用001</t>
        </is>
      </c>
      <c r="E26" s="21" t="inlineStr">
        <is>
          <t>CPFL013</t>
        </is>
      </c>
      <c r="F26" s="21" t="inlineStr">
        <is>
          <t>CPXM022</t>
        </is>
      </c>
      <c r="G26" s="21" t="inlineStr">
        <is>
          <t>kikiherb</t>
        </is>
      </c>
      <c r="H26" s="12">
        <f>SUMIFS(计提明细表!$K$4:$K$59,计提明细表!$B$4:$B$59,$A26,计提明细表!$T$4:$T$59,$B26,计提明细表!$U$4:$U$59,$C26,计提明细表!$V$4:$V$59,$D26,计提明细表!$W$4:$W$59,$E26&amp;"",计提明细表!$X$4:$X$59,$F26&amp;"")</f>
        <v/>
      </c>
      <c r="I26" s="12">
        <f>SUMIFS(计提明细表!$L$4:$L$59,计提明细表!$B$4:$B$59,$A26,计提明细表!$T$4:$T$59,$B26,计提明细表!$U$4:$U$59,$C26,计提明细表!$V$4:$V$59,$D26,计提明细表!$W$4:$W$59,$E26&amp;"",计提明细表!$X$4:$X$59,$F26&amp;"")</f>
        <v/>
      </c>
      <c r="J26" s="12">
        <f>SUMIFS(计提明细表!$I$4:$I$59,计提明细表!$B$4:$B$59,$A26,计提明细表!$T$4:$T$59,$B26,计提明细表!$U$4:$U$59,$C26,计提明细表!$V$4:$V$59,$D26,计提明细表!$W$4:$W$59,$E26&amp;"",计提明细表!$X$4:$X$59,$F26&amp;"")</f>
        <v/>
      </c>
      <c r="K26" s="8">
        <f>COUNTIFS(计提明细表!$B$4:$B$59,$A26,计提明细表!$T$4:$T$59,$B26,计提明细表!$U$4:$U$59,$C26,计提明细表!$V$4:$V$59,$D26,计提明细表!$W$4:$W$59,$E26&amp;"",计提明细表!$X$4:$X$59,$F26&amp;"")</f>
        <v/>
      </c>
      <c r="L26" s="23" t="inlineStr">
        <is>
          <t>6月起</t>
        </is>
      </c>
    </row>
    <row r="27">
      <c r="A27" s="21" t="inlineStr">
        <is>
          <t>孝感星期九</t>
        </is>
      </c>
      <c r="B27" s="22" t="inlineStr">
        <is>
          <t>6601 销售费用</t>
        </is>
      </c>
      <c r="C27" s="22" t="inlineStr">
        <is>
          <t>永续物流中心 0011401</t>
        </is>
      </c>
      <c r="D27" s="22" t="inlineStr">
        <is>
          <t>货物仓储费 FYXM008.002其他物流费用001</t>
        </is>
      </c>
      <c r="E27" s="21" t="inlineStr">
        <is>
          <t>CPFL010</t>
        </is>
      </c>
      <c r="F27" s="21" t="inlineStr">
        <is>
          <t>CPXM017</t>
        </is>
      </c>
      <c r="G27" s="21" t="inlineStr">
        <is>
          <t>鲜食(线上)</t>
        </is>
      </c>
      <c r="H27" s="12">
        <f>SUMIFS(计提明细表!$K$4:$K$59,计提明细表!$B$4:$B$59,$A27,计提明细表!$T$4:$T$59,$B27,计提明细表!$U$4:$U$59,$C27,计提明细表!$V$4:$V$59,$D27,计提明细表!$W$4:$W$59,$E27&amp;"",计提明细表!$X$4:$X$59,$F27&amp;"")</f>
        <v/>
      </c>
      <c r="I27" s="12">
        <f>SUMIFS(计提明细表!$L$4:$L$59,计提明细表!$B$4:$B$59,$A27,计提明细表!$T$4:$T$59,$B27,计提明细表!$U$4:$U$59,$C27,计提明细表!$V$4:$V$59,$D27,计提明细表!$W$4:$W$59,$E27&amp;"",计提明细表!$X$4:$X$59,$F27&amp;"")</f>
        <v/>
      </c>
      <c r="J27" s="12">
        <f>SUMIFS(计提明细表!$I$4:$I$59,计提明细表!$B$4:$B$59,$A27,计提明细表!$T$4:$T$59,$B27,计提明细表!$U$4:$U$59,$C27,计提明细表!$V$4:$V$59,$D27,计提明细表!$W$4:$W$59,$E27&amp;"",计提明细表!$X$4:$X$59,$F27&amp;"")</f>
        <v/>
      </c>
      <c r="K27" s="8">
        <f>COUNTIFS(计提明细表!$B$4:$B$59,$A27,计提明细表!$T$4:$T$59,$B27,计提明细表!$U$4:$U$59,$C27,计提明细表!$V$4:$V$59,$D27,计提明细表!$W$4:$W$59,$E27&amp;"",计提明细表!$X$4:$X$59,$F27&amp;"")</f>
        <v/>
      </c>
      <c r="L27" s="23" t="inlineStr">
        <is>
          <t>5月</t>
        </is>
      </c>
    </row>
    <row r="28">
      <c r="A28" s="21" t="inlineStr">
        <is>
          <t>孝感星期九</t>
        </is>
      </c>
      <c r="B28" s="22" t="inlineStr">
        <is>
          <t>6402 其他业务支出</t>
        </is>
      </c>
      <c r="C28" s="22" t="inlineStr">
        <is>
          <t>仓储物流部 0030301</t>
        </is>
      </c>
      <c r="D28" s="22" t="inlineStr">
        <is>
          <t>原辅料及包装物 FYXM002.004其他产品成本费用009</t>
        </is>
      </c>
      <c r="E28" s="21" t="inlineStr"/>
      <c r="F28" s="21" t="inlineStr"/>
      <c r="G28" s="21" t="inlineStr">
        <is>
          <t>—(原料销售)</t>
        </is>
      </c>
      <c r="H28" s="12">
        <f>SUMIFS(计提明细表!$K$4:$K$59,计提明细表!$B$4:$B$59,$A28,计提明细表!$T$4:$T$59,$B28,计提明细表!$U$4:$U$59,$C28,计提明细表!$V$4:$V$59,$D28,计提明细表!$W$4:$W$59,$E28&amp;"",计提明细表!$X$4:$X$59,$F28&amp;"")</f>
        <v/>
      </c>
      <c r="I28" s="12">
        <f>SUMIFS(计提明细表!$L$4:$L$59,计提明细表!$B$4:$B$59,$A28,计提明细表!$T$4:$T$59,$B28,计提明细表!$U$4:$U$59,$C28,计提明细表!$V$4:$V$59,$D28,计提明细表!$W$4:$W$59,$E28&amp;"",计提明细表!$X$4:$X$59,$F28&amp;"")</f>
        <v/>
      </c>
      <c r="J28" s="12">
        <f>SUMIFS(计提明细表!$I$4:$I$59,计提明细表!$B$4:$B$59,$A28,计提明细表!$T$4:$T$59,$B28,计提明细表!$U$4:$U$59,$C28,计提明细表!$V$4:$V$59,$D28,计提明细表!$W$4:$W$59,$E28&amp;"",计提明细表!$X$4:$X$59,$F28&amp;"")</f>
        <v/>
      </c>
      <c r="K28" s="8">
        <f>COUNTIFS(计提明细表!$B$4:$B$59,$A28,计提明细表!$T$4:$T$59,$B28,计提明细表!$U$4:$U$59,$C28,计提明细表!$V$4:$V$59,$D28,计提明细表!$W$4:$W$59,$E28&amp;"",计提明细表!$X$4:$X$59,$F28&amp;"")</f>
        <v/>
      </c>
      <c r="L28" s="23" t="inlineStr">
        <is>
          <t>1-4月</t>
        </is>
      </c>
    </row>
    <row r="29">
      <c r="A29" s="21" t="inlineStr">
        <is>
          <t>孝感星期九</t>
        </is>
      </c>
      <c r="B29" s="22" t="inlineStr">
        <is>
          <t>6604 研发费用</t>
        </is>
      </c>
      <c r="C29" s="22" t="inlineStr">
        <is>
          <t>永续研发中心 0010506</t>
        </is>
      </c>
      <c r="D29" s="22" t="inlineStr">
        <is>
          <t>研发外购 FYXM005.002研发费用001</t>
        </is>
      </c>
      <c r="E29" s="21" t="inlineStr"/>
      <c r="F29" s="21" t="inlineStr"/>
      <c r="G29" s="21" t="inlineStr">
        <is>
          <t>—(研发中试)</t>
        </is>
      </c>
      <c r="H29" s="12">
        <f>SUMIFS(计提明细表!$K$4:$K$59,计提明细表!$B$4:$B$59,$A29,计提明细表!$T$4:$T$59,$B29,计提明细表!$U$4:$U$59,$C29,计提明细表!$V$4:$V$59,$D29,计提明细表!$W$4:$W$59,$E29&amp;"",计提明细表!$X$4:$X$59,$F29&amp;"")</f>
        <v/>
      </c>
      <c r="I29" s="12">
        <f>SUMIFS(计提明细表!$L$4:$L$59,计提明细表!$B$4:$B$59,$A29,计提明细表!$T$4:$T$59,$B29,计提明细表!$U$4:$U$59,$C29,计提明细表!$V$4:$V$59,$D29,计提明细表!$W$4:$W$59,$E29&amp;"",计提明细表!$X$4:$X$59,$F29&amp;"")</f>
        <v/>
      </c>
      <c r="J29" s="12">
        <f>SUMIFS(计提明细表!$I$4:$I$59,计提明细表!$B$4:$B$59,$A29,计提明细表!$T$4:$T$59,$B29,计提明细表!$U$4:$U$59,$C29,计提明细表!$V$4:$V$59,$D29,计提明细表!$W$4:$W$59,$E29&amp;"",计提明细表!$X$4:$X$59,$F29&amp;"")</f>
        <v/>
      </c>
      <c r="K29" s="8">
        <f>COUNTIFS(计提明细表!$B$4:$B$59,$A29,计提明细表!$T$4:$T$59,$B29,计提明细表!$U$4:$U$59,$C29,计提明细表!$V$4:$V$59,$D29,计提明细表!$W$4:$W$59,$E29&amp;"",计提明细表!$X$4:$X$59,$F29&amp;"")</f>
        <v/>
      </c>
      <c r="L29" s="23" t="inlineStr">
        <is>
          <t>5,7月</t>
        </is>
      </c>
    </row>
    <row r="30">
      <c r="A30" s="21" t="inlineStr">
        <is>
          <t>孝感星期九</t>
        </is>
      </c>
      <c r="B30" s="22" t="inlineStr">
        <is>
          <t>6601 销售费用</t>
        </is>
      </c>
      <c r="C30" s="22" t="inlineStr">
        <is>
          <t>永续物流中心 0011401</t>
        </is>
      </c>
      <c r="D30" s="22" t="inlineStr">
        <is>
          <t>出库运费 FYXM008.002其他物流费用002</t>
        </is>
      </c>
      <c r="E30" s="21" t="inlineStr">
        <is>
          <t>CPFL007</t>
        </is>
      </c>
      <c r="F30" s="21" t="inlineStr"/>
      <c r="G30" s="21" t="inlineStr">
        <is>
          <t>植物肉(调拨)</t>
        </is>
      </c>
      <c r="H30" s="12">
        <f>SUMIFS(计提明细表!$K$4:$K$59,计提明细表!$B$4:$B$59,$A30,计提明细表!$T$4:$T$59,$B30,计提明细表!$U$4:$U$59,$C30,计提明细表!$V$4:$V$59,$D30,计提明细表!$W$4:$W$59,$E30&amp;"",计提明细表!$X$4:$X$59,$F30&amp;"")</f>
        <v/>
      </c>
      <c r="I30" s="12">
        <f>SUMIFS(计提明细表!$L$4:$L$59,计提明细表!$B$4:$B$59,$A30,计提明细表!$T$4:$T$59,$B30,计提明细表!$U$4:$U$59,$C30,计提明细表!$V$4:$V$59,$D30,计提明细表!$W$4:$W$59,$E30&amp;"",计提明细表!$X$4:$X$59,$F30&amp;"")</f>
        <v/>
      </c>
      <c r="J30" s="12">
        <f>SUMIFS(计提明细表!$I$4:$I$59,计提明细表!$B$4:$B$59,$A30,计提明细表!$T$4:$T$59,$B30,计提明细表!$U$4:$U$59,$C30,计提明细表!$V$4:$V$59,$D30,计提明细表!$W$4:$W$59,$E30&amp;"",计提明细表!$X$4:$X$59,$F30&amp;"")</f>
        <v/>
      </c>
      <c r="K30" s="8">
        <f>COUNTIFS(计提明细表!$B$4:$B$59,$A30,计提明细表!$T$4:$T$59,$B30,计提明细表!$U$4:$U$59,$C30,计提明细表!$V$4:$V$59,$D30,计提明细表!$W$4:$W$59,$E30&amp;"",计提明细表!$X$4:$X$59,$F30&amp;"")</f>
        <v/>
      </c>
      <c r="L30" s="23" t="inlineStr">
        <is>
          <t>7月新增</t>
        </is>
      </c>
    </row>
    <row r="31">
      <c r="A31" s="24" t="inlineStr">
        <is>
          <t>🖐维度待定</t>
        </is>
      </c>
      <c r="B31" s="25" t="inlineStr">
        <is>
          <t>(费用归属空/人工核对行,在明细表补齐后自动归位)</t>
        </is>
      </c>
      <c r="C31" s="26" t="n"/>
      <c r="D31" s="26" t="n"/>
      <c r="E31" s="26" t="n"/>
      <c r="F31" s="26" t="n"/>
      <c r="G31" s="26" t="n"/>
      <c r="H31" s="27">
        <f>SUMIFS(计提明细表!$K$4:$K$59,计提明细表!$T$4:$T$59,"",计提明细表!$I$4:$I$59,"&lt;&gt;")</f>
        <v/>
      </c>
      <c r="I31" s="27">
        <f>SUMIFS(计提明细表!$L$4:$L$59,计提明细表!$T$4:$T$59,"",计提明细表!$I$4:$I$59,"&lt;&gt;")</f>
        <v/>
      </c>
      <c r="J31" s="27">
        <f>SUMIFS(计提明细表!$I$4:$I$59,计提明细表!$T$4:$T$59,"",计提明细表!$I$4:$I$59,"&lt;&gt;")</f>
        <v/>
      </c>
      <c r="K31" s="28">
        <f>COUNTIFS(计提明细表!$T$4:$T$59,"",计提明细表!$I$4:$I$59,"&lt;&gt;")</f>
        <v/>
      </c>
    </row>
    <row r="32">
      <c r="A32" s="7" t="inlineStr">
        <is>
          <t>合计</t>
        </is>
      </c>
      <c r="B32" s="19" t="n"/>
      <c r="C32" s="19" t="n"/>
      <c r="D32" s="19" t="n"/>
      <c r="E32" s="19" t="n"/>
      <c r="F32" s="19" t="n"/>
      <c r="G32" s="19" t="n"/>
      <c r="H32" s="20">
        <f>SUM(H4:H31)</f>
        <v/>
      </c>
      <c r="I32" s="20">
        <f>SUM(I4:I31)</f>
        <v/>
      </c>
      <c r="J32" s="20">
        <f>SUM(J4:J31)</f>
        <v/>
      </c>
      <c r="K32" s="29">
        <f>SUM(K4:K31)</f>
        <v/>
      </c>
      <c r="L32" s="19" t="n"/>
    </row>
    <row r="34">
      <c r="A34" s="4" t="inlineStr">
        <is>
          <t>核对:组合外金额(明细I60−上表合计)=</t>
        </is>
      </c>
      <c r="H34" s="30">
        <f>计提明细表!$I$60-J32</f>
        <v/>
      </c>
      <c r="I34" s="5" t="inlineStr">
        <is>
          <t>← 应为0;≠0=明细表有维度组合不在上表——常见:①做账主体与账单付款主体不一致(如原料入库账证只记孝感簿)②人工改了维度③新业务。查明细表核对后把组合补一行。</t>
        </is>
      </c>
    </row>
    <row r="35">
      <c r="A35" s="5" t="inlineStr">
        <is>
          <t>注:5101/6604/6402 科目不挂产品分类/产品项目(账证维度配置);「其它」类费用财务定科目后,组合行由工具签发时自动补。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EFDA"/>
    <outlinePr summaryBelow="1" summaryRight="1"/>
    <pageSetUpPr/>
  </sheetPr>
  <dimension ref="A1:T3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1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  <col width="18" customWidth="1" min="20" max="20"/>
  </cols>
  <sheetData>
    <row r="1">
      <c r="A1" s="31" t="inlineStr">
        <is>
          <t>供应商列表(物流商身份+渠道+13类费用归属税率矩阵)——工具按月签发快照,勿手改;税率单一事实源=工具税率维表</t>
        </is>
      </c>
    </row>
    <row r="2">
      <c r="A2" s="7" t="inlineStr">
        <is>
          <t>物流商简称</t>
        </is>
      </c>
      <c r="B2" s="7" t="inlineStr">
        <is>
          <t>物流商全称</t>
        </is>
      </c>
      <c r="C2" s="7" t="inlineStr">
        <is>
          <t>金蝶供应商编码
(工具回填)</t>
        </is>
      </c>
      <c r="D2" s="7" t="inlineStr">
        <is>
          <t>供应商分组
(工具回填)</t>
        </is>
      </c>
      <c r="E2" s="7" t="inlineStr">
        <is>
          <t>渠道
(摘要用)</t>
        </is>
      </c>
      <c r="F2" s="7" t="inlineStr">
        <is>
          <t>税率(按13类费用归属·专票口径)</t>
        </is>
      </c>
      <c r="S2" s="7" t="inlineStr">
        <is>
          <t>是否建档</t>
        </is>
      </c>
      <c r="T2" s="7" t="inlineStr">
        <is>
          <t>备注</t>
        </is>
      </c>
    </row>
    <row r="3">
      <c r="F3" s="7" t="inlineStr">
        <is>
          <t>销售出库费用</t>
        </is>
      </c>
      <c r="G3" s="7" t="inlineStr">
        <is>
          <t>成品入库费用</t>
        </is>
      </c>
      <c r="H3" s="7" t="inlineStr">
        <is>
          <t>原料入库费用</t>
        </is>
      </c>
      <c r="I3" s="7" t="inlineStr">
        <is>
          <t>成品仓储费用</t>
        </is>
      </c>
      <c r="J3" s="7" t="inlineStr">
        <is>
          <t>原料仓储费用</t>
        </is>
      </c>
      <c r="K3" s="7" t="inlineStr">
        <is>
          <t>成品调拨费用</t>
        </is>
      </c>
      <c r="L3" s="7" t="inlineStr">
        <is>
          <t>原料调拨费用</t>
        </is>
      </c>
      <c r="M3" s="7" t="inlineStr">
        <is>
          <t>出库装卸费用</t>
        </is>
      </c>
      <c r="N3" s="7" t="inlineStr">
        <is>
          <t>成品入库装卸费用</t>
        </is>
      </c>
      <c r="O3" s="7" t="inlineStr">
        <is>
          <t>原料入库装卸费用</t>
        </is>
      </c>
      <c r="P3" s="7" t="inlineStr">
        <is>
          <t>研发设备采购</t>
        </is>
      </c>
      <c r="Q3" s="7" t="inlineStr">
        <is>
          <t>设备调拨费用</t>
        </is>
      </c>
      <c r="R3" s="7" t="inlineStr">
        <is>
          <t>其它</t>
        </is>
      </c>
    </row>
    <row r="4">
      <c r="A4" s="22" t="inlineStr">
        <is>
          <t>顺丰冷运</t>
        </is>
      </c>
      <c r="B4" s="22" t="inlineStr">
        <is>
          <t>上海顺丰冷运供应链有限公司</t>
        </is>
      </c>
      <c r="C4" s="32" t="inlineStr"/>
      <c r="D4" s="32" t="inlineStr">
        <is>
          <t>供应商009</t>
        </is>
      </c>
      <c r="E4" s="33" t="inlineStr">
        <is>
          <t>线下</t>
        </is>
      </c>
      <c r="F4" s="34" t="n">
        <v>0.09</v>
      </c>
      <c r="G4" s="34" t="n">
        <v>0.09</v>
      </c>
      <c r="H4" s="34" t="n">
        <v>0.09</v>
      </c>
      <c r="I4" s="34" t="n">
        <v>0.09</v>
      </c>
      <c r="J4" s="34" t="n">
        <v>0.09</v>
      </c>
      <c r="K4" s="34" t="n">
        <v>0.09</v>
      </c>
      <c r="L4" s="34" t="n">
        <v>0.09</v>
      </c>
      <c r="M4" s="34" t="n">
        <v>0.09</v>
      </c>
      <c r="N4" s="34" t="n">
        <v>0.09</v>
      </c>
      <c r="O4" s="34" t="n">
        <v>0.09</v>
      </c>
      <c r="P4" s="34" t="n">
        <v>0.09</v>
      </c>
      <c r="Q4" s="34" t="n">
        <v>0.09</v>
      </c>
      <c r="R4" s="34" t="n">
        <v>0.09</v>
      </c>
      <c r="S4" s="21" t="inlineStr">
        <is>
          <t>✓</t>
        </is>
      </c>
      <c r="T4" s="22" t="inlineStr"/>
    </row>
    <row r="5">
      <c r="A5" s="22" t="inlineStr">
        <is>
          <t>顺丰速运</t>
        </is>
      </c>
      <c r="B5" s="22" t="inlineStr">
        <is>
          <t>深圳顺丰速运有限公司</t>
        </is>
      </c>
      <c r="C5" s="32" t="inlineStr"/>
      <c r="D5" s="32" t="inlineStr">
        <is>
          <t>供应商009</t>
        </is>
      </c>
      <c r="E5" s="33" t="inlineStr">
        <is>
          <t>线下</t>
        </is>
      </c>
      <c r="F5" s="34" t="n">
        <v>0.06</v>
      </c>
      <c r="G5" s="34" t="n">
        <v>0.06</v>
      </c>
      <c r="H5" s="34" t="n">
        <v>0.06</v>
      </c>
      <c r="I5" s="34" t="n">
        <v>0.06</v>
      </c>
      <c r="J5" s="34" t="n">
        <v>0.06</v>
      </c>
      <c r="K5" s="34" t="n">
        <v>0.06</v>
      </c>
      <c r="L5" s="34" t="n">
        <v>0.06</v>
      </c>
      <c r="M5" s="34" t="n">
        <v>0.06</v>
      </c>
      <c r="N5" s="34" t="n">
        <v>0.06</v>
      </c>
      <c r="O5" s="34" t="n">
        <v>0.06</v>
      </c>
      <c r="P5" s="34" t="n">
        <v>0.06</v>
      </c>
      <c r="Q5" s="34" t="n">
        <v>0.06</v>
      </c>
      <c r="R5" s="34" t="n">
        <v>0.06</v>
      </c>
      <c r="S5" s="21" t="inlineStr">
        <is>
          <t>✓</t>
        </is>
      </c>
      <c r="T5" s="22" t="inlineStr"/>
    </row>
    <row r="6">
      <c r="A6" s="22" t="inlineStr">
        <is>
          <t>跨越物流</t>
        </is>
      </c>
      <c r="B6" s="22" t="inlineStr">
        <is>
          <t>深圳市跨越冷运有限公司</t>
        </is>
      </c>
      <c r="C6" s="32" t="inlineStr"/>
      <c r="D6" s="32" t="inlineStr">
        <is>
          <t>供应商009</t>
        </is>
      </c>
      <c r="E6" s="33" t="inlineStr">
        <is>
          <t>线下</t>
        </is>
      </c>
      <c r="F6" s="34" t="n">
        <v>0.06</v>
      </c>
      <c r="G6" s="34" t="n">
        <v>0.06</v>
      </c>
      <c r="H6" s="34" t="n">
        <v>0.06</v>
      </c>
      <c r="I6" s="34" t="n">
        <v>0.06</v>
      </c>
      <c r="J6" s="34" t="n">
        <v>0.06</v>
      </c>
      <c r="K6" s="34" t="n">
        <v>0.06</v>
      </c>
      <c r="L6" s="34" t="n">
        <v>0.06</v>
      </c>
      <c r="M6" s="34" t="n">
        <v>0.06</v>
      </c>
      <c r="N6" s="34" t="n">
        <v>0.06</v>
      </c>
      <c r="O6" s="34" t="n">
        <v>0.06</v>
      </c>
      <c r="P6" s="34" t="n">
        <v>0.06</v>
      </c>
      <c r="Q6" s="34" t="n">
        <v>0.06</v>
      </c>
      <c r="R6" s="34" t="n">
        <v>0.06</v>
      </c>
      <c r="S6" s="21" t="inlineStr">
        <is>
          <t>✓</t>
        </is>
      </c>
      <c r="T6" s="22" t="inlineStr"/>
    </row>
    <row r="7">
      <c r="A7" s="22" t="inlineStr">
        <is>
          <t>易风达</t>
        </is>
      </c>
      <c r="B7" s="22" t="inlineStr">
        <is>
          <t>武汉易风达冷链物流有限公司</t>
        </is>
      </c>
      <c r="C7" s="32" t="inlineStr"/>
      <c r="D7" s="32" t="inlineStr">
        <is>
          <t>供应商009</t>
        </is>
      </c>
      <c r="E7" s="33" t="inlineStr">
        <is>
          <t>线下</t>
        </is>
      </c>
      <c r="F7" s="34" t="n">
        <v>0.09</v>
      </c>
      <c r="G7" s="34" t="n">
        <v>0.09</v>
      </c>
      <c r="H7" s="34" t="n">
        <v>0.09</v>
      </c>
      <c r="I7" s="35" t="n">
        <v>0.06</v>
      </c>
      <c r="J7" s="35" t="n">
        <v>0.06</v>
      </c>
      <c r="K7" s="34" t="n">
        <v>0.09</v>
      </c>
      <c r="L7" s="34" t="n">
        <v>0.09</v>
      </c>
      <c r="M7" s="34" t="n">
        <v>0.09</v>
      </c>
      <c r="N7" s="34" t="n">
        <v>0.09</v>
      </c>
      <c r="O7" s="34" t="n">
        <v>0.09</v>
      </c>
      <c r="P7" s="34" t="n">
        <v>0.09</v>
      </c>
      <c r="Q7" s="34" t="n">
        <v>0.09</v>
      </c>
      <c r="R7" s="34" t="n">
        <v>0.09</v>
      </c>
      <c r="S7" s="21" t="inlineStr">
        <is>
          <t>✓</t>
        </is>
      </c>
      <c r="T7" s="22" t="inlineStr"/>
    </row>
    <row r="8">
      <c r="A8" s="22" t="inlineStr">
        <is>
          <t>朴朴</t>
        </is>
      </c>
      <c r="B8" s="22" t="inlineStr">
        <is>
          <t>朴朴</t>
        </is>
      </c>
      <c r="C8" s="32" t="inlineStr"/>
      <c r="D8" s="32" t="inlineStr">
        <is>
          <t>供应商009</t>
        </is>
      </c>
      <c r="E8" s="33" t="inlineStr">
        <is>
          <t>线下</t>
        </is>
      </c>
      <c r="F8" s="34" t="n">
        <v>0.09</v>
      </c>
      <c r="G8" s="34" t="n">
        <v>0.09</v>
      </c>
      <c r="H8" s="34" t="n">
        <v>0.09</v>
      </c>
      <c r="I8" s="34" t="n">
        <v>0.09</v>
      </c>
      <c r="J8" s="34" t="n">
        <v>0.09</v>
      </c>
      <c r="K8" s="34" t="n">
        <v>0.09</v>
      </c>
      <c r="L8" s="34" t="n">
        <v>0.09</v>
      </c>
      <c r="M8" s="34" t="n">
        <v>0.09</v>
      </c>
      <c r="N8" s="34" t="n">
        <v>0.09</v>
      </c>
      <c r="O8" s="34" t="n">
        <v>0.09</v>
      </c>
      <c r="P8" s="34" t="n">
        <v>0.09</v>
      </c>
      <c r="Q8" s="34" t="n">
        <v>0.09</v>
      </c>
      <c r="R8" s="34" t="n">
        <v>0.09</v>
      </c>
      <c r="S8" s="21" t="inlineStr">
        <is>
          <t>✓</t>
        </is>
      </c>
      <c r="T8" s="22" t="inlineStr"/>
    </row>
    <row r="9">
      <c r="A9" s="22" t="inlineStr">
        <is>
          <t>诚煜物流</t>
        </is>
      </c>
      <c r="B9" s="22" t="inlineStr">
        <is>
          <t>武汉诚煜冷藏物流有限公司</t>
        </is>
      </c>
      <c r="C9" s="32" t="inlineStr"/>
      <c r="D9" s="32" t="inlineStr">
        <is>
          <t>供应商009</t>
        </is>
      </c>
      <c r="E9" s="33" t="inlineStr">
        <is>
          <t>线下</t>
        </is>
      </c>
      <c r="F9" s="34" t="n">
        <v>0.09</v>
      </c>
      <c r="G9" s="34" t="n">
        <v>0.09</v>
      </c>
      <c r="H9" s="34" t="n">
        <v>0.09</v>
      </c>
      <c r="I9" s="34" t="n">
        <v>0.09</v>
      </c>
      <c r="J9" s="34" t="n">
        <v>0.09</v>
      </c>
      <c r="K9" s="34" t="n">
        <v>0.09</v>
      </c>
      <c r="L9" s="34" t="n">
        <v>0.09</v>
      </c>
      <c r="M9" s="34" t="n">
        <v>0.09</v>
      </c>
      <c r="N9" s="34" t="n">
        <v>0.09</v>
      </c>
      <c r="O9" s="34" t="n">
        <v>0.09</v>
      </c>
      <c r="P9" s="34" t="n">
        <v>0.09</v>
      </c>
      <c r="Q9" s="34" t="n">
        <v>0.09</v>
      </c>
      <c r="R9" s="34" t="n">
        <v>0.09</v>
      </c>
      <c r="S9" s="21" t="inlineStr">
        <is>
          <t>✓</t>
        </is>
      </c>
      <c r="T9" s="22" t="inlineStr"/>
    </row>
    <row r="10">
      <c r="A10" s="22" t="inlineStr">
        <is>
          <t>金刚物流</t>
        </is>
      </c>
      <c r="B10" s="22" t="inlineStr">
        <is>
          <t>大连金刚冷藏运输有限公司</t>
        </is>
      </c>
      <c r="C10" s="32" t="inlineStr"/>
      <c r="D10" s="32" t="inlineStr">
        <is>
          <t>供应商009</t>
        </is>
      </c>
      <c r="E10" s="33" t="inlineStr">
        <is>
          <t>线下</t>
        </is>
      </c>
      <c r="F10" s="34" t="n">
        <v>0.09</v>
      </c>
      <c r="G10" s="34" t="n">
        <v>0.09</v>
      </c>
      <c r="H10" s="34" t="n">
        <v>0.09</v>
      </c>
      <c r="I10" s="34" t="n">
        <v>0.09</v>
      </c>
      <c r="J10" s="34" t="n">
        <v>0.09</v>
      </c>
      <c r="K10" s="34" t="n">
        <v>0.09</v>
      </c>
      <c r="L10" s="34" t="n">
        <v>0.09</v>
      </c>
      <c r="M10" s="34" t="n">
        <v>0.09</v>
      </c>
      <c r="N10" s="34" t="n">
        <v>0.09</v>
      </c>
      <c r="O10" s="34" t="n">
        <v>0.09</v>
      </c>
      <c r="P10" s="34" t="n">
        <v>0.09</v>
      </c>
      <c r="Q10" s="34" t="n">
        <v>0.09</v>
      </c>
      <c r="R10" s="34" t="n">
        <v>0.09</v>
      </c>
      <c r="S10" s="21" t="inlineStr">
        <is>
          <t>✓</t>
        </is>
      </c>
      <c r="T10" s="22" t="inlineStr"/>
    </row>
    <row r="11">
      <c r="A11" s="22" t="inlineStr">
        <is>
          <t>链盟</t>
        </is>
      </c>
      <c r="B11" s="22" t="inlineStr">
        <is>
          <t>东莞市链盟供应链有限公司</t>
        </is>
      </c>
      <c r="C11" s="32" t="inlineStr"/>
      <c r="D11" s="32" t="inlineStr">
        <is>
          <t>供应商009</t>
        </is>
      </c>
      <c r="E11" s="33" t="inlineStr">
        <is>
          <t>线下</t>
        </is>
      </c>
      <c r="F11" s="34" t="n">
        <v>0.09</v>
      </c>
      <c r="G11" s="34" t="n">
        <v>0.09</v>
      </c>
      <c r="H11" s="34" t="n">
        <v>0.09</v>
      </c>
      <c r="I11" s="34" t="n">
        <v>0.09</v>
      </c>
      <c r="J11" s="34" t="n">
        <v>0.09</v>
      </c>
      <c r="K11" s="34" t="n">
        <v>0.09</v>
      </c>
      <c r="L11" s="34" t="n">
        <v>0.09</v>
      </c>
      <c r="M11" s="34" t="n">
        <v>0.09</v>
      </c>
      <c r="N11" s="34" t="n">
        <v>0.09</v>
      </c>
      <c r="O11" s="34" t="n">
        <v>0.09</v>
      </c>
      <c r="P11" s="34" t="n">
        <v>0.09</v>
      </c>
      <c r="Q11" s="34" t="n">
        <v>0.09</v>
      </c>
      <c r="R11" s="34" t="n">
        <v>0.09</v>
      </c>
      <c r="S11" s="21" t="inlineStr">
        <is>
          <t>✓</t>
        </is>
      </c>
      <c r="T11" s="22" t="inlineStr"/>
    </row>
    <row r="12">
      <c r="A12" s="22" t="inlineStr">
        <is>
          <t>路凯（13%）</t>
        </is>
      </c>
      <c r="B12" s="22" t="inlineStr">
        <is>
          <t>路凯包装设备租赁（上海）有限公司</t>
        </is>
      </c>
      <c r="C12" s="32" t="inlineStr"/>
      <c r="D12" s="32" t="inlineStr">
        <is>
          <t>供应商009</t>
        </is>
      </c>
      <c r="E12" s="33" t="inlineStr">
        <is>
          <t>线下</t>
        </is>
      </c>
      <c r="F12" s="34" t="n">
        <v>0.13</v>
      </c>
      <c r="G12" s="34" t="n">
        <v>0.13</v>
      </c>
      <c r="H12" s="34" t="n">
        <v>0.13</v>
      </c>
      <c r="I12" s="34" t="n">
        <v>0.13</v>
      </c>
      <c r="J12" s="34" t="n">
        <v>0.13</v>
      </c>
      <c r="K12" s="34" t="n">
        <v>0.13</v>
      </c>
      <c r="L12" s="34" t="n">
        <v>0.13</v>
      </c>
      <c r="M12" s="34" t="n">
        <v>0.13</v>
      </c>
      <c r="N12" s="34" t="n">
        <v>0.13</v>
      </c>
      <c r="O12" s="34" t="n">
        <v>0.13</v>
      </c>
      <c r="P12" s="34" t="n">
        <v>0.13</v>
      </c>
      <c r="Q12" s="34" t="n">
        <v>0.13</v>
      </c>
      <c r="R12" s="34" t="n">
        <v>0.13</v>
      </c>
      <c r="S12" s="21" t="inlineStr">
        <is>
          <t>✓</t>
        </is>
      </c>
      <c r="T12" s="22" t="inlineStr"/>
    </row>
    <row r="13">
      <c r="A13" s="22" t="inlineStr">
        <is>
          <t>中通快运</t>
        </is>
      </c>
      <c r="B13" s="22" t="inlineStr">
        <is>
          <t>孝感市顺捷物流有限公司</t>
        </is>
      </c>
      <c r="C13" s="32" t="inlineStr"/>
      <c r="D13" s="32" t="inlineStr">
        <is>
          <t>供应商009</t>
        </is>
      </c>
      <c r="E13" s="33" t="inlineStr">
        <is>
          <t>线下</t>
        </is>
      </c>
      <c r="F13" s="34" t="n">
        <v>0.06</v>
      </c>
      <c r="G13" s="34" t="n">
        <v>0.06</v>
      </c>
      <c r="H13" s="34" t="n">
        <v>0.06</v>
      </c>
      <c r="I13" s="34" t="n">
        <v>0.06</v>
      </c>
      <c r="J13" s="34" t="n">
        <v>0.06</v>
      </c>
      <c r="K13" s="34" t="n">
        <v>0.06</v>
      </c>
      <c r="L13" s="34" t="n">
        <v>0.06</v>
      </c>
      <c r="M13" s="34" t="n">
        <v>0.06</v>
      </c>
      <c r="N13" s="34" t="n">
        <v>0.06</v>
      </c>
      <c r="O13" s="34" t="n">
        <v>0.06</v>
      </c>
      <c r="P13" s="34" t="n">
        <v>0.06</v>
      </c>
      <c r="Q13" s="34" t="n">
        <v>0.06</v>
      </c>
      <c r="R13" s="34" t="n">
        <v>0.06</v>
      </c>
      <c r="S13" s="21" t="inlineStr">
        <is>
          <t>✓</t>
        </is>
      </c>
      <c r="T13" s="22" t="inlineStr"/>
    </row>
    <row r="14">
      <c r="A14" s="22" t="inlineStr">
        <is>
          <t>极鲜达</t>
        </is>
      </c>
      <c r="B14" s="22" t="inlineStr">
        <is>
          <t>湖北极鲜达供应链责任公司</t>
        </is>
      </c>
      <c r="C14" s="32" t="inlineStr"/>
      <c r="D14" s="32" t="inlineStr">
        <is>
          <t>供应商009</t>
        </is>
      </c>
      <c r="E14" s="33" t="inlineStr">
        <is>
          <t>线下</t>
        </is>
      </c>
      <c r="F14" s="34" t="n">
        <v>0.09</v>
      </c>
      <c r="G14" s="34" t="n">
        <v>0.09</v>
      </c>
      <c r="H14" s="34" t="n">
        <v>0.09</v>
      </c>
      <c r="I14" s="35" t="n">
        <v>0.06</v>
      </c>
      <c r="J14" s="35" t="n">
        <v>0.06</v>
      </c>
      <c r="K14" s="34" t="n">
        <v>0.09</v>
      </c>
      <c r="L14" s="34" t="n">
        <v>0.09</v>
      </c>
      <c r="M14" s="34" t="n">
        <v>0.09</v>
      </c>
      <c r="N14" s="34" t="n">
        <v>0.09</v>
      </c>
      <c r="O14" s="34" t="n">
        <v>0.09</v>
      </c>
      <c r="P14" s="34" t="n">
        <v>0.09</v>
      </c>
      <c r="Q14" s="34" t="n">
        <v>0.09</v>
      </c>
      <c r="R14" s="34" t="n">
        <v>0.09</v>
      </c>
      <c r="S14" s="21" t="inlineStr">
        <is>
          <t>✓</t>
        </is>
      </c>
      <c r="T14" s="22" t="inlineStr"/>
    </row>
    <row r="15">
      <c r="A15" s="22" t="inlineStr">
        <is>
          <t>丰源</t>
        </is>
      </c>
      <c r="B15" s="22" t="inlineStr">
        <is>
          <t>湖北丰源物流供应链管理有限公司</t>
        </is>
      </c>
      <c r="C15" s="32" t="inlineStr"/>
      <c r="D15" s="32" t="inlineStr">
        <is>
          <t>供应商009</t>
        </is>
      </c>
      <c r="E15" s="33" t="inlineStr">
        <is>
          <t>线下</t>
        </is>
      </c>
      <c r="F15" s="34" t="n">
        <v>0.09</v>
      </c>
      <c r="G15" s="34" t="n">
        <v>0.09</v>
      </c>
      <c r="H15" s="34" t="n">
        <v>0.09</v>
      </c>
      <c r="I15" s="34" t="n">
        <v>0.09</v>
      </c>
      <c r="J15" s="34" t="n">
        <v>0.09</v>
      </c>
      <c r="K15" s="34" t="n">
        <v>0.09</v>
      </c>
      <c r="L15" s="34" t="n">
        <v>0.09</v>
      </c>
      <c r="M15" s="34" t="n">
        <v>0.09</v>
      </c>
      <c r="N15" s="34" t="n">
        <v>0.09</v>
      </c>
      <c r="O15" s="34" t="n">
        <v>0.09</v>
      </c>
      <c r="P15" s="34" t="n">
        <v>0.09</v>
      </c>
      <c r="Q15" s="34" t="n">
        <v>0.09</v>
      </c>
      <c r="R15" s="34" t="n">
        <v>0.09</v>
      </c>
      <c r="S15" s="21" t="inlineStr">
        <is>
          <t>✓</t>
        </is>
      </c>
      <c r="T15" s="22" t="inlineStr"/>
    </row>
    <row r="16">
      <c r="A16" s="22" t="inlineStr">
        <is>
          <t>山姆VMI</t>
        </is>
      </c>
      <c r="B16" s="22" t="inlineStr">
        <is>
          <t>沃尔玛（中国）投资有限公司</t>
        </is>
      </c>
      <c r="C16" s="32" t="inlineStr"/>
      <c r="D16" s="32" t="inlineStr">
        <is>
          <t>供应商009</t>
        </is>
      </c>
      <c r="E16" s="33" t="inlineStr">
        <is>
          <t>线下</t>
        </is>
      </c>
      <c r="F16" s="34" t="n">
        <v>0.06</v>
      </c>
      <c r="G16" s="34" t="n">
        <v>0.06</v>
      </c>
      <c r="H16" s="34" t="n">
        <v>0.06</v>
      </c>
      <c r="I16" s="34" t="n">
        <v>0.06</v>
      </c>
      <c r="J16" s="34" t="n">
        <v>0.06</v>
      </c>
      <c r="K16" s="34" t="n">
        <v>0.06</v>
      </c>
      <c r="L16" s="34" t="n">
        <v>0.06</v>
      </c>
      <c r="M16" s="34" t="n">
        <v>0.06</v>
      </c>
      <c r="N16" s="34" t="n">
        <v>0.06</v>
      </c>
      <c r="O16" s="34" t="n">
        <v>0.06</v>
      </c>
      <c r="P16" s="34" t="n">
        <v>0.06</v>
      </c>
      <c r="Q16" s="34" t="n">
        <v>0.06</v>
      </c>
      <c r="R16" s="34" t="n">
        <v>0.06</v>
      </c>
      <c r="S16" s="21" t="inlineStr">
        <is>
          <t>✓</t>
        </is>
      </c>
      <c r="T16" s="22" t="inlineStr"/>
    </row>
    <row r="17">
      <c r="A17" s="22" t="inlineStr">
        <is>
          <t>天鹰物流</t>
        </is>
      </c>
      <c r="B17" s="22" t="inlineStr">
        <is>
          <t>湖北天鹰物流有限公司</t>
        </is>
      </c>
      <c r="C17" s="32" t="inlineStr"/>
      <c r="D17" s="32" t="inlineStr">
        <is>
          <t>供应商009</t>
        </is>
      </c>
      <c r="E17" s="33" t="inlineStr">
        <is>
          <t>线下</t>
        </is>
      </c>
      <c r="F17" s="34" t="n">
        <v>0.06</v>
      </c>
      <c r="G17" s="34" t="n">
        <v>0.06</v>
      </c>
      <c r="H17" s="34" t="n">
        <v>0.06</v>
      </c>
      <c r="I17" s="34" t="n">
        <v>0.06</v>
      </c>
      <c r="J17" s="34" t="n">
        <v>0.06</v>
      </c>
      <c r="K17" s="34" t="n">
        <v>0.06</v>
      </c>
      <c r="L17" s="34" t="n">
        <v>0.06</v>
      </c>
      <c r="M17" s="34" t="n">
        <v>0.06</v>
      </c>
      <c r="N17" s="34" t="n">
        <v>0.06</v>
      </c>
      <c r="O17" s="34" t="n">
        <v>0.06</v>
      </c>
      <c r="P17" s="34" t="n">
        <v>0.06</v>
      </c>
      <c r="Q17" s="34" t="n">
        <v>0.06</v>
      </c>
      <c r="R17" s="34" t="n">
        <v>0.06</v>
      </c>
      <c r="S17" s="21" t="inlineStr">
        <is>
          <t>✓</t>
        </is>
      </c>
      <c r="T17" s="22" t="inlineStr"/>
    </row>
    <row r="18">
      <c r="A18" s="22" t="inlineStr">
        <is>
          <t>比翼电商仓</t>
        </is>
      </c>
      <c r="B18" s="22" t="inlineStr">
        <is>
          <t>厦门比翼信息科技有限公司</t>
        </is>
      </c>
      <c r="C18" s="32" t="inlineStr"/>
      <c r="D18" s="32" t="inlineStr">
        <is>
          <t>供应商009</t>
        </is>
      </c>
      <c r="E18" s="33" t="inlineStr">
        <is>
          <t>线上</t>
        </is>
      </c>
      <c r="F18" s="34" t="n">
        <v>0.06</v>
      </c>
      <c r="G18" s="34" t="n">
        <v>0.06</v>
      </c>
      <c r="H18" s="34" t="n">
        <v>0.06</v>
      </c>
      <c r="I18" s="34" t="n">
        <v>0.06</v>
      </c>
      <c r="J18" s="34" t="n">
        <v>0.06</v>
      </c>
      <c r="K18" s="34" t="n">
        <v>0.06</v>
      </c>
      <c r="L18" s="34" t="n">
        <v>0.06</v>
      </c>
      <c r="M18" s="34" t="n">
        <v>0.06</v>
      </c>
      <c r="N18" s="34" t="n">
        <v>0.06</v>
      </c>
      <c r="O18" s="34" t="n">
        <v>0.06</v>
      </c>
      <c r="P18" s="34" t="n">
        <v>0.06</v>
      </c>
      <c r="Q18" s="34" t="n">
        <v>0.06</v>
      </c>
      <c r="R18" s="34" t="n">
        <v>0.06</v>
      </c>
      <c r="S18" s="21" t="inlineStr">
        <is>
          <t>✓</t>
        </is>
      </c>
      <c r="T18" s="22" t="inlineStr"/>
    </row>
    <row r="19">
      <c r="A19" s="22" t="inlineStr">
        <is>
          <t>顺鸽电商仓</t>
        </is>
      </c>
      <c r="B19" s="22" t="inlineStr">
        <is>
          <t>顺鸽电商仓</t>
        </is>
      </c>
      <c r="C19" s="32" t="inlineStr"/>
      <c r="D19" s="32" t="inlineStr">
        <is>
          <t>供应商009</t>
        </is>
      </c>
      <c r="E19" s="33" t="inlineStr">
        <is>
          <t>线上</t>
        </is>
      </c>
      <c r="F19" s="34" t="n">
        <v>0.06</v>
      </c>
      <c r="G19" s="34" t="n">
        <v>0.06</v>
      </c>
      <c r="H19" s="34" t="n">
        <v>0.06</v>
      </c>
      <c r="I19" s="34" t="n">
        <v>0.06</v>
      </c>
      <c r="J19" s="34" t="n">
        <v>0.06</v>
      </c>
      <c r="K19" s="34" t="n">
        <v>0.06</v>
      </c>
      <c r="L19" s="34" t="n">
        <v>0.06</v>
      </c>
      <c r="M19" s="34" t="n">
        <v>0.06</v>
      </c>
      <c r="N19" s="34" t="n">
        <v>0.06</v>
      </c>
      <c r="O19" s="34" t="n">
        <v>0.06</v>
      </c>
      <c r="P19" s="34" t="n">
        <v>0.06</v>
      </c>
      <c r="Q19" s="34" t="n">
        <v>0.06</v>
      </c>
      <c r="R19" s="34" t="n">
        <v>0.06</v>
      </c>
      <c r="S19" s="21" t="inlineStr">
        <is>
          <t>✓</t>
        </is>
      </c>
      <c r="T19" s="22" t="inlineStr"/>
    </row>
    <row r="20">
      <c r="A20" s="22" t="inlineStr">
        <is>
          <t>嵘盛</t>
        </is>
      </c>
      <c r="B20" s="22" t="inlineStr">
        <is>
          <t>广州市嵘盛冷链物流有限公司</t>
        </is>
      </c>
      <c r="C20" s="32" t="inlineStr"/>
      <c r="D20" s="32" t="inlineStr">
        <is>
          <t>供应商009</t>
        </is>
      </c>
      <c r="E20" s="33" t="inlineStr">
        <is>
          <t>线下</t>
        </is>
      </c>
      <c r="F20" s="34" t="n">
        <v>0.09</v>
      </c>
      <c r="G20" s="34" t="n">
        <v>0.09</v>
      </c>
      <c r="H20" s="34" t="n">
        <v>0.09</v>
      </c>
      <c r="I20" s="34" t="n">
        <v>0.09</v>
      </c>
      <c r="J20" s="34" t="n">
        <v>0.09</v>
      </c>
      <c r="K20" s="34" t="n">
        <v>0.09</v>
      </c>
      <c r="L20" s="34" t="n">
        <v>0.09</v>
      </c>
      <c r="M20" s="34" t="n">
        <v>0.09</v>
      </c>
      <c r="N20" s="34" t="n">
        <v>0.09</v>
      </c>
      <c r="O20" s="34" t="n">
        <v>0.09</v>
      </c>
      <c r="P20" s="34" t="n">
        <v>0.09</v>
      </c>
      <c r="Q20" s="34" t="n">
        <v>0.09</v>
      </c>
      <c r="R20" s="34" t="n">
        <v>0.09</v>
      </c>
      <c r="S20" s="21" t="inlineStr">
        <is>
          <t>✓</t>
        </is>
      </c>
      <c r="T20" s="22" t="inlineStr"/>
    </row>
    <row r="21">
      <c r="A21" s="22" t="inlineStr">
        <is>
          <t>大润发</t>
        </is>
      </c>
      <c r="B21" s="22" t="inlineStr">
        <is>
          <t>大润发</t>
        </is>
      </c>
      <c r="C21" s="32" t="inlineStr"/>
      <c r="D21" s="32" t="inlineStr">
        <is>
          <t>供应商009</t>
        </is>
      </c>
      <c r="E21" s="33" t="inlineStr">
        <is>
          <t>线下</t>
        </is>
      </c>
      <c r="F21" s="34" t="n">
        <v>0.06</v>
      </c>
      <c r="G21" s="34" t="n">
        <v>0.06</v>
      </c>
      <c r="H21" s="34" t="n">
        <v>0.06</v>
      </c>
      <c r="I21" s="34" t="n">
        <v>0.06</v>
      </c>
      <c r="J21" s="34" t="n">
        <v>0.06</v>
      </c>
      <c r="K21" s="34" t="n">
        <v>0.06</v>
      </c>
      <c r="L21" s="34" t="n">
        <v>0.06</v>
      </c>
      <c r="M21" s="34" t="n">
        <v>0.06</v>
      </c>
      <c r="N21" s="34" t="n">
        <v>0.06</v>
      </c>
      <c r="O21" s="34" t="n">
        <v>0.06</v>
      </c>
      <c r="P21" s="34" t="n">
        <v>0.06</v>
      </c>
      <c r="Q21" s="34" t="n">
        <v>0.06</v>
      </c>
      <c r="R21" s="34" t="n">
        <v>0.06</v>
      </c>
      <c r="S21" s="21" t="inlineStr">
        <is>
          <t>✓</t>
        </is>
      </c>
      <c r="T21" s="22" t="inlineStr"/>
    </row>
    <row r="22">
      <c r="A22" s="22" t="inlineStr">
        <is>
          <t>兆驰</t>
        </is>
      </c>
      <c r="B22" s="22" t="inlineStr">
        <is>
          <t>北京兆驰捷物流有限公司</t>
        </is>
      </c>
      <c r="C22" s="32" t="inlineStr"/>
      <c r="D22" s="32" t="inlineStr">
        <is>
          <t>供应商009</t>
        </is>
      </c>
      <c r="E22" s="33" t="inlineStr">
        <is>
          <t>线下</t>
        </is>
      </c>
      <c r="F22" s="34" t="n">
        <v>0.09</v>
      </c>
      <c r="G22" s="34" t="n">
        <v>0.09</v>
      </c>
      <c r="H22" s="34" t="n">
        <v>0.09</v>
      </c>
      <c r="I22" s="34" t="n">
        <v>0.09</v>
      </c>
      <c r="J22" s="34" t="n">
        <v>0.09</v>
      </c>
      <c r="K22" s="34" t="n">
        <v>0.09</v>
      </c>
      <c r="L22" s="34" t="n">
        <v>0.09</v>
      </c>
      <c r="M22" s="34" t="n">
        <v>0.09</v>
      </c>
      <c r="N22" s="34" t="n">
        <v>0.09</v>
      </c>
      <c r="O22" s="34" t="n">
        <v>0.09</v>
      </c>
      <c r="P22" s="34" t="n">
        <v>0.09</v>
      </c>
      <c r="Q22" s="34" t="n">
        <v>0.09</v>
      </c>
      <c r="R22" s="34" t="n">
        <v>0.09</v>
      </c>
      <c r="S22" s="21" t="inlineStr">
        <is>
          <t>✓</t>
        </is>
      </c>
      <c r="T22" s="22" t="inlineStr"/>
    </row>
    <row r="23">
      <c r="A23" s="22" t="inlineStr">
        <is>
          <t>中嫄</t>
        </is>
      </c>
      <c r="B23" s="22" t="inlineStr">
        <is>
          <t>上海中嫄物流有限公司</t>
        </is>
      </c>
      <c r="C23" s="32" t="inlineStr"/>
      <c r="D23" s="32" t="inlineStr">
        <is>
          <t>供应商009</t>
        </is>
      </c>
      <c r="E23" s="33" t="inlineStr">
        <is>
          <t>线下</t>
        </is>
      </c>
      <c r="F23" s="34" t="n">
        <v>0.09</v>
      </c>
      <c r="G23" s="34" t="n">
        <v>0.09</v>
      </c>
      <c r="H23" s="34" t="n">
        <v>0.09</v>
      </c>
      <c r="I23" s="34" t="n">
        <v>0.09</v>
      </c>
      <c r="J23" s="34" t="n">
        <v>0.09</v>
      </c>
      <c r="K23" s="34" t="n">
        <v>0.09</v>
      </c>
      <c r="L23" s="34" t="n">
        <v>0.09</v>
      </c>
      <c r="M23" s="34" t="n">
        <v>0.09</v>
      </c>
      <c r="N23" s="34" t="n">
        <v>0.09</v>
      </c>
      <c r="O23" s="34" t="n">
        <v>0.09</v>
      </c>
      <c r="P23" s="34" t="n">
        <v>0.09</v>
      </c>
      <c r="Q23" s="34" t="n">
        <v>0.09</v>
      </c>
      <c r="R23" s="34" t="n">
        <v>0.09</v>
      </c>
      <c r="S23" s="21" t="inlineStr">
        <is>
          <t>✓</t>
        </is>
      </c>
      <c r="T23" s="22" t="inlineStr"/>
    </row>
    <row r="24">
      <c r="A24" s="22" t="inlineStr">
        <is>
          <t>国际货运</t>
        </is>
      </c>
      <c r="B24" s="22" t="inlineStr">
        <is>
          <t>国际货运</t>
        </is>
      </c>
      <c r="C24" s="32" t="inlineStr"/>
      <c r="D24" s="32" t="inlineStr">
        <is>
          <t>供应商009</t>
        </is>
      </c>
      <c r="E24" s="33" t="inlineStr">
        <is>
          <t>线下</t>
        </is>
      </c>
      <c r="F24" s="34" t="n">
        <v>0.09</v>
      </c>
      <c r="G24" s="34" t="n">
        <v>0.09</v>
      </c>
      <c r="H24" s="34" t="n">
        <v>0.09</v>
      </c>
      <c r="I24" s="34" t="n">
        <v>0.09</v>
      </c>
      <c r="J24" s="34" t="n">
        <v>0.09</v>
      </c>
      <c r="K24" s="34" t="n">
        <v>0.09</v>
      </c>
      <c r="L24" s="34" t="n">
        <v>0.09</v>
      </c>
      <c r="M24" s="34" t="n">
        <v>0.09</v>
      </c>
      <c r="N24" s="34" t="n">
        <v>0.09</v>
      </c>
      <c r="O24" s="34" t="n">
        <v>0.09</v>
      </c>
      <c r="P24" s="34" t="n">
        <v>0.09</v>
      </c>
      <c r="Q24" s="34" t="n">
        <v>0.09</v>
      </c>
      <c r="R24" s="34" t="n">
        <v>0.09</v>
      </c>
      <c r="S24" s="21" t="inlineStr">
        <is>
          <t>✓</t>
        </is>
      </c>
      <c r="T24" s="22" t="inlineStr"/>
    </row>
    <row r="25">
      <c r="A25" s="22" t="inlineStr">
        <is>
          <t>货拉拉</t>
        </is>
      </c>
      <c r="B25" s="22" t="inlineStr">
        <is>
          <t>货拉拉</t>
        </is>
      </c>
      <c r="C25" s="32" t="inlineStr"/>
      <c r="D25" s="32" t="inlineStr">
        <is>
          <t>供应商009</t>
        </is>
      </c>
      <c r="E25" s="33" t="inlineStr">
        <is>
          <t>线下</t>
        </is>
      </c>
      <c r="F25" s="34" t="n">
        <v>0.09</v>
      </c>
      <c r="G25" s="34" t="n">
        <v>0.09</v>
      </c>
      <c r="H25" s="34" t="n">
        <v>0.09</v>
      </c>
      <c r="I25" s="34" t="n">
        <v>0.09</v>
      </c>
      <c r="J25" s="34" t="n">
        <v>0.09</v>
      </c>
      <c r="K25" s="34" t="n">
        <v>0.09</v>
      </c>
      <c r="L25" s="34" t="n">
        <v>0.09</v>
      </c>
      <c r="M25" s="34" t="n">
        <v>0.09</v>
      </c>
      <c r="N25" s="34" t="n">
        <v>0.09</v>
      </c>
      <c r="O25" s="34" t="n">
        <v>0.09</v>
      </c>
      <c r="P25" s="34" t="n">
        <v>0.09</v>
      </c>
      <c r="Q25" s="34" t="n">
        <v>0.09</v>
      </c>
      <c r="R25" s="34" t="n">
        <v>0.09</v>
      </c>
      <c r="S25" s="21" t="inlineStr">
        <is>
          <t>✓</t>
        </is>
      </c>
      <c r="T25" s="22" t="inlineStr"/>
    </row>
    <row r="27">
      <c r="A27" s="5" t="inlineStr">
        <is>
          <t>说明:</t>
        </is>
      </c>
    </row>
    <row r="28">
      <c r="A28" s="5" t="inlineStr">
        <is>
          <t>· 一行一物流商,简称是全表唯一查找键——同名两法人(如顺丰速运/大润发)须拆成不同简称。</t>
        </is>
      </c>
    </row>
    <row r="29">
      <c r="A29" s="5" t="inlineStr">
        <is>
          <t>· 13 列税率=该商各费用归属的专票税率;橙格=与默认档(销售出库列)不同,如易风达/极鲜达仓储 6%。</t>
        </is>
      </c>
    </row>
    <row r="30">
      <c r="A30" s="5" t="inlineStr">
        <is>
          <t>· 本表由财务工具按月签发(数据源=工具税率维表+供应商档案),物流部发现缺商/税率不对→联系财务改工具,下月快照自动更新。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DEBF7"/>
    <outlinePr summaryBelow="1" summaryRight="1"/>
    <pageSetUpPr/>
  </sheetPr>
  <dimension ref="A1:P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物流商费用汇总表(全公式自动 · 数据源=计提明细表)　账期 2026-07</t>
        </is>
      </c>
    </row>
    <row r="2">
      <c r="A2" s="7" t="inlineStr">
        <is>
          <t>物流商简称</t>
        </is>
      </c>
      <c r="B2" s="7" t="inlineStr">
        <is>
          <t>含税合计</t>
        </is>
      </c>
      <c r="C2" s="7" t="inlineStr">
        <is>
          <t>深圳星期零</t>
        </is>
      </c>
      <c r="D2" s="36" t="n"/>
      <c r="E2" s="37" t="n"/>
      <c r="F2" s="7" t="inlineStr">
        <is>
          <t>孝感星期九</t>
        </is>
      </c>
      <c r="G2" s="36" t="n"/>
      <c r="H2" s="37" t="n"/>
      <c r="I2" s="7" t="inlineStr">
        <is>
          <t>深圳星期九</t>
        </is>
      </c>
      <c r="J2" s="36" t="n"/>
      <c r="K2" s="37" t="n"/>
      <c r="L2" s="7" t="inlineStr">
        <is>
          <t>状态推进(手填/工具回填)</t>
        </is>
      </c>
      <c r="M2" s="36" t="n"/>
      <c r="N2" s="36" t="n"/>
      <c r="O2" s="36" t="n"/>
      <c r="P2" s="37" t="n"/>
    </row>
    <row r="3">
      <c r="A3" s="7" t="inlineStr"/>
      <c r="B3" s="7" t="inlineStr"/>
      <c r="C3" s="7" t="inlineStr">
        <is>
          <t>9%</t>
        </is>
      </c>
      <c r="D3" s="7" t="inlineStr">
        <is>
          <t>6%</t>
        </is>
      </c>
      <c r="E3" s="7" t="inlineStr">
        <is>
          <t>13%</t>
        </is>
      </c>
      <c r="F3" s="7" t="inlineStr">
        <is>
          <t>9%</t>
        </is>
      </c>
      <c r="G3" s="7" t="inlineStr">
        <is>
          <t>6%</t>
        </is>
      </c>
      <c r="H3" s="7" t="inlineStr">
        <is>
          <t>13%</t>
        </is>
      </c>
      <c r="I3" s="7" t="inlineStr">
        <is>
          <t>9%</t>
        </is>
      </c>
      <c r="J3" s="7" t="inlineStr">
        <is>
          <t>6%</t>
        </is>
      </c>
      <c r="K3" s="7" t="inlineStr">
        <is>
          <t>13%</t>
        </is>
      </c>
      <c r="L3" s="7" t="inlineStr">
        <is>
          <t>已计提</t>
        </is>
      </c>
      <c r="M3" s="7" t="inlineStr">
        <is>
          <t>对账定稿</t>
        </is>
      </c>
      <c r="N3" s="7" t="inlineStr">
        <is>
          <t>已开票</t>
        </is>
      </c>
      <c r="O3" s="7" t="inlineStr">
        <is>
          <t>已请款</t>
        </is>
      </c>
      <c r="P3" s="7" t="inlineStr">
        <is>
          <t>已付款</t>
        </is>
      </c>
    </row>
    <row r="4">
      <c r="A4" s="22" t="inlineStr">
        <is>
          <t>顺丰冷运</t>
        </is>
      </c>
      <c r="B4" s="12">
        <f>SUMIFS(计提明细表!$I$4:$I$59,计提明细表!$C$4:$C$59,A4)</f>
        <v/>
      </c>
      <c r="C4" s="12">
        <f>SUMIFS(计提明细表!$I$4:$I$59,计提明细表!$C$4:$C$59,$A4,计提明细表!$B$4:$B$59,"深圳星期零",计提明细表!$J$4:$J$59,0.09)</f>
        <v/>
      </c>
      <c r="D4" s="12">
        <f>SUMIFS(计提明细表!$I$4:$I$59,计提明细表!$C$4:$C$59,$A4,计提明细表!$B$4:$B$59,"深圳星期零",计提明细表!$J$4:$J$59,0.06)</f>
        <v/>
      </c>
      <c r="E4" s="12">
        <f>SUMIFS(计提明细表!$I$4:$I$59,计提明细表!$C$4:$C$59,$A4,计提明细表!$B$4:$B$59,"深圳星期零",计提明细表!$J$4:$J$59,0.13)</f>
        <v/>
      </c>
      <c r="F4" s="12">
        <f>SUMIFS(计提明细表!$I$4:$I$59,计提明细表!$C$4:$C$59,$A4,计提明细表!$B$4:$B$59,"孝感星期九",计提明细表!$J$4:$J$59,0.09)</f>
        <v/>
      </c>
      <c r="G4" s="12">
        <f>SUMIFS(计提明细表!$I$4:$I$59,计提明细表!$C$4:$C$59,$A4,计提明细表!$B$4:$B$59,"孝感星期九",计提明细表!$J$4:$J$59,0.06)</f>
        <v/>
      </c>
      <c r="H4" s="12">
        <f>SUMIFS(计提明细表!$I$4:$I$59,计提明细表!$C$4:$C$59,$A4,计提明细表!$B$4:$B$59,"孝感星期九",计提明细表!$J$4:$J$59,0.13)</f>
        <v/>
      </c>
      <c r="I4" s="12">
        <f>SUMIFS(计提明细表!$I$4:$I$59,计提明细表!$C$4:$C$59,$A4,计提明细表!$B$4:$B$59,"深圳星期九",计提明细表!$J$4:$J$59,0.09)</f>
        <v/>
      </c>
      <c r="J4" s="12">
        <f>SUMIFS(计提明细表!$I$4:$I$59,计提明细表!$C$4:$C$59,$A4,计提明细表!$B$4:$B$59,"深圳星期九",计提明细表!$J$4:$J$59,0.06)</f>
        <v/>
      </c>
      <c r="K4" s="12">
        <f>SUMIFS(计提明细表!$I$4:$I$59,计提明细表!$C$4:$C$59,$A4,计提明细表!$B$4:$B$59,"深圳星期九",计提明细表!$J$4:$J$59,0.13)</f>
        <v/>
      </c>
      <c r="L4" s="38" t="n"/>
      <c r="M4" s="38" t="n"/>
      <c r="N4" s="38" t="n"/>
      <c r="O4" s="38" t="n"/>
      <c r="P4" s="38" t="n"/>
    </row>
    <row r="5">
      <c r="A5" s="22" t="inlineStr">
        <is>
          <t>顺丰速运</t>
        </is>
      </c>
      <c r="B5" s="12">
        <f>SUMIFS(计提明细表!$I$4:$I$59,计提明细表!$C$4:$C$59,A5)</f>
        <v/>
      </c>
      <c r="C5" s="12">
        <f>SUMIFS(计提明细表!$I$4:$I$59,计提明细表!$C$4:$C$59,$A5,计提明细表!$B$4:$B$59,"深圳星期零",计提明细表!$J$4:$J$59,0.09)</f>
        <v/>
      </c>
      <c r="D5" s="12">
        <f>SUMIFS(计提明细表!$I$4:$I$59,计提明细表!$C$4:$C$59,$A5,计提明细表!$B$4:$B$59,"深圳星期零",计提明细表!$J$4:$J$59,0.06)</f>
        <v/>
      </c>
      <c r="E5" s="12">
        <f>SUMIFS(计提明细表!$I$4:$I$59,计提明细表!$C$4:$C$59,$A5,计提明细表!$B$4:$B$59,"深圳星期零",计提明细表!$J$4:$J$59,0.13)</f>
        <v/>
      </c>
      <c r="F5" s="12">
        <f>SUMIFS(计提明细表!$I$4:$I$59,计提明细表!$C$4:$C$59,$A5,计提明细表!$B$4:$B$59,"孝感星期九",计提明细表!$J$4:$J$59,0.09)</f>
        <v/>
      </c>
      <c r="G5" s="12">
        <f>SUMIFS(计提明细表!$I$4:$I$59,计提明细表!$C$4:$C$59,$A5,计提明细表!$B$4:$B$59,"孝感星期九",计提明细表!$J$4:$J$59,0.06)</f>
        <v/>
      </c>
      <c r="H5" s="12">
        <f>SUMIFS(计提明细表!$I$4:$I$59,计提明细表!$C$4:$C$59,$A5,计提明细表!$B$4:$B$59,"孝感星期九",计提明细表!$J$4:$J$59,0.13)</f>
        <v/>
      </c>
      <c r="I5" s="12">
        <f>SUMIFS(计提明细表!$I$4:$I$59,计提明细表!$C$4:$C$59,$A5,计提明细表!$B$4:$B$59,"深圳星期九",计提明细表!$J$4:$J$59,0.09)</f>
        <v/>
      </c>
      <c r="J5" s="12">
        <f>SUMIFS(计提明细表!$I$4:$I$59,计提明细表!$C$4:$C$59,$A5,计提明细表!$B$4:$B$59,"深圳星期九",计提明细表!$J$4:$J$59,0.06)</f>
        <v/>
      </c>
      <c r="K5" s="12">
        <f>SUMIFS(计提明细表!$I$4:$I$59,计提明细表!$C$4:$C$59,$A5,计提明细表!$B$4:$B$59,"深圳星期九",计提明细表!$J$4:$J$59,0.13)</f>
        <v/>
      </c>
      <c r="L5" s="38" t="n"/>
      <c r="M5" s="38" t="n"/>
      <c r="N5" s="38" t="n"/>
      <c r="O5" s="38" t="n"/>
      <c r="P5" s="38" t="n"/>
    </row>
    <row r="6">
      <c r="A6" s="22" t="inlineStr">
        <is>
          <t>跨越物流</t>
        </is>
      </c>
      <c r="B6" s="12">
        <f>SUMIFS(计提明细表!$I$4:$I$59,计提明细表!$C$4:$C$59,A6)</f>
        <v/>
      </c>
      <c r="C6" s="12">
        <f>SUMIFS(计提明细表!$I$4:$I$59,计提明细表!$C$4:$C$59,$A6,计提明细表!$B$4:$B$59,"深圳星期零",计提明细表!$J$4:$J$59,0.09)</f>
        <v/>
      </c>
      <c r="D6" s="12">
        <f>SUMIFS(计提明细表!$I$4:$I$59,计提明细表!$C$4:$C$59,$A6,计提明细表!$B$4:$B$59,"深圳星期零",计提明细表!$J$4:$J$59,0.06)</f>
        <v/>
      </c>
      <c r="E6" s="12">
        <f>SUMIFS(计提明细表!$I$4:$I$59,计提明细表!$C$4:$C$59,$A6,计提明细表!$B$4:$B$59,"深圳星期零",计提明细表!$J$4:$J$59,0.13)</f>
        <v/>
      </c>
      <c r="F6" s="12">
        <f>SUMIFS(计提明细表!$I$4:$I$59,计提明细表!$C$4:$C$59,$A6,计提明细表!$B$4:$B$59,"孝感星期九",计提明细表!$J$4:$J$59,0.09)</f>
        <v/>
      </c>
      <c r="G6" s="12">
        <f>SUMIFS(计提明细表!$I$4:$I$59,计提明细表!$C$4:$C$59,$A6,计提明细表!$B$4:$B$59,"孝感星期九",计提明细表!$J$4:$J$59,0.06)</f>
        <v/>
      </c>
      <c r="H6" s="12">
        <f>SUMIFS(计提明细表!$I$4:$I$59,计提明细表!$C$4:$C$59,$A6,计提明细表!$B$4:$B$59,"孝感星期九",计提明细表!$J$4:$J$59,0.13)</f>
        <v/>
      </c>
      <c r="I6" s="12">
        <f>SUMIFS(计提明细表!$I$4:$I$59,计提明细表!$C$4:$C$59,$A6,计提明细表!$B$4:$B$59,"深圳星期九",计提明细表!$J$4:$J$59,0.09)</f>
        <v/>
      </c>
      <c r="J6" s="12">
        <f>SUMIFS(计提明细表!$I$4:$I$59,计提明细表!$C$4:$C$59,$A6,计提明细表!$B$4:$B$59,"深圳星期九",计提明细表!$J$4:$J$59,0.06)</f>
        <v/>
      </c>
      <c r="K6" s="12">
        <f>SUMIFS(计提明细表!$I$4:$I$59,计提明细表!$C$4:$C$59,$A6,计提明细表!$B$4:$B$59,"深圳星期九",计提明细表!$J$4:$J$59,0.13)</f>
        <v/>
      </c>
      <c r="L6" s="38" t="n"/>
      <c r="M6" s="38" t="n"/>
      <c r="N6" s="38" t="n"/>
      <c r="O6" s="38" t="n"/>
      <c r="P6" s="38" t="n"/>
    </row>
    <row r="7">
      <c r="A7" s="22" t="inlineStr">
        <is>
          <t>易风达</t>
        </is>
      </c>
      <c r="B7" s="12">
        <f>SUMIFS(计提明细表!$I$4:$I$59,计提明细表!$C$4:$C$59,A7)</f>
        <v/>
      </c>
      <c r="C7" s="12">
        <f>SUMIFS(计提明细表!$I$4:$I$59,计提明细表!$C$4:$C$59,$A7,计提明细表!$B$4:$B$59,"深圳星期零",计提明细表!$J$4:$J$59,0.09)</f>
        <v/>
      </c>
      <c r="D7" s="12">
        <f>SUMIFS(计提明细表!$I$4:$I$59,计提明细表!$C$4:$C$59,$A7,计提明细表!$B$4:$B$59,"深圳星期零",计提明细表!$J$4:$J$59,0.06)</f>
        <v/>
      </c>
      <c r="E7" s="12">
        <f>SUMIFS(计提明细表!$I$4:$I$59,计提明细表!$C$4:$C$59,$A7,计提明细表!$B$4:$B$59,"深圳星期零",计提明细表!$J$4:$J$59,0.13)</f>
        <v/>
      </c>
      <c r="F7" s="12">
        <f>SUMIFS(计提明细表!$I$4:$I$59,计提明细表!$C$4:$C$59,$A7,计提明细表!$B$4:$B$59,"孝感星期九",计提明细表!$J$4:$J$59,0.09)</f>
        <v/>
      </c>
      <c r="G7" s="12">
        <f>SUMIFS(计提明细表!$I$4:$I$59,计提明细表!$C$4:$C$59,$A7,计提明细表!$B$4:$B$59,"孝感星期九",计提明细表!$J$4:$J$59,0.06)</f>
        <v/>
      </c>
      <c r="H7" s="12">
        <f>SUMIFS(计提明细表!$I$4:$I$59,计提明细表!$C$4:$C$59,$A7,计提明细表!$B$4:$B$59,"孝感星期九",计提明细表!$J$4:$J$59,0.13)</f>
        <v/>
      </c>
      <c r="I7" s="12">
        <f>SUMIFS(计提明细表!$I$4:$I$59,计提明细表!$C$4:$C$59,$A7,计提明细表!$B$4:$B$59,"深圳星期九",计提明细表!$J$4:$J$59,0.09)</f>
        <v/>
      </c>
      <c r="J7" s="12">
        <f>SUMIFS(计提明细表!$I$4:$I$59,计提明细表!$C$4:$C$59,$A7,计提明细表!$B$4:$B$59,"深圳星期九",计提明细表!$J$4:$J$59,0.06)</f>
        <v/>
      </c>
      <c r="K7" s="12">
        <f>SUMIFS(计提明细表!$I$4:$I$59,计提明细表!$C$4:$C$59,$A7,计提明细表!$B$4:$B$59,"深圳星期九",计提明细表!$J$4:$J$59,0.13)</f>
        <v/>
      </c>
      <c r="L7" s="38" t="n"/>
      <c r="M7" s="38" t="n"/>
      <c r="N7" s="38" t="n"/>
      <c r="O7" s="38" t="n"/>
      <c r="P7" s="38" t="n"/>
    </row>
    <row r="8">
      <c r="A8" s="22" t="inlineStr">
        <is>
          <t>朴朴</t>
        </is>
      </c>
      <c r="B8" s="12">
        <f>SUMIFS(计提明细表!$I$4:$I$59,计提明细表!$C$4:$C$59,A8)</f>
        <v/>
      </c>
      <c r="C8" s="12">
        <f>SUMIFS(计提明细表!$I$4:$I$59,计提明细表!$C$4:$C$59,$A8,计提明细表!$B$4:$B$59,"深圳星期零",计提明细表!$J$4:$J$59,0.09)</f>
        <v/>
      </c>
      <c r="D8" s="12">
        <f>SUMIFS(计提明细表!$I$4:$I$59,计提明细表!$C$4:$C$59,$A8,计提明细表!$B$4:$B$59,"深圳星期零",计提明细表!$J$4:$J$59,0.06)</f>
        <v/>
      </c>
      <c r="E8" s="12">
        <f>SUMIFS(计提明细表!$I$4:$I$59,计提明细表!$C$4:$C$59,$A8,计提明细表!$B$4:$B$59,"深圳星期零",计提明细表!$J$4:$J$59,0.13)</f>
        <v/>
      </c>
      <c r="F8" s="12">
        <f>SUMIFS(计提明细表!$I$4:$I$59,计提明细表!$C$4:$C$59,$A8,计提明细表!$B$4:$B$59,"孝感星期九",计提明细表!$J$4:$J$59,0.09)</f>
        <v/>
      </c>
      <c r="G8" s="12">
        <f>SUMIFS(计提明细表!$I$4:$I$59,计提明细表!$C$4:$C$59,$A8,计提明细表!$B$4:$B$59,"孝感星期九",计提明细表!$J$4:$J$59,0.06)</f>
        <v/>
      </c>
      <c r="H8" s="12">
        <f>SUMIFS(计提明细表!$I$4:$I$59,计提明细表!$C$4:$C$59,$A8,计提明细表!$B$4:$B$59,"孝感星期九",计提明细表!$J$4:$J$59,0.13)</f>
        <v/>
      </c>
      <c r="I8" s="12">
        <f>SUMIFS(计提明细表!$I$4:$I$59,计提明细表!$C$4:$C$59,$A8,计提明细表!$B$4:$B$59,"深圳星期九",计提明细表!$J$4:$J$59,0.09)</f>
        <v/>
      </c>
      <c r="J8" s="12">
        <f>SUMIFS(计提明细表!$I$4:$I$59,计提明细表!$C$4:$C$59,$A8,计提明细表!$B$4:$B$59,"深圳星期九",计提明细表!$J$4:$J$59,0.06)</f>
        <v/>
      </c>
      <c r="K8" s="12">
        <f>SUMIFS(计提明细表!$I$4:$I$59,计提明细表!$C$4:$C$59,$A8,计提明细表!$B$4:$B$59,"深圳星期九",计提明细表!$J$4:$J$59,0.13)</f>
        <v/>
      </c>
      <c r="L8" s="38" t="n"/>
      <c r="M8" s="38" t="n"/>
      <c r="N8" s="38" t="n"/>
      <c r="O8" s="38" t="n"/>
      <c r="P8" s="38" t="n"/>
    </row>
    <row r="9">
      <c r="A9" s="22" t="inlineStr">
        <is>
          <t>诚煜物流</t>
        </is>
      </c>
      <c r="B9" s="12">
        <f>SUMIFS(计提明细表!$I$4:$I$59,计提明细表!$C$4:$C$59,A9)</f>
        <v/>
      </c>
      <c r="C9" s="12">
        <f>SUMIFS(计提明细表!$I$4:$I$59,计提明细表!$C$4:$C$59,$A9,计提明细表!$B$4:$B$59,"深圳星期零",计提明细表!$J$4:$J$59,0.09)</f>
        <v/>
      </c>
      <c r="D9" s="12">
        <f>SUMIFS(计提明细表!$I$4:$I$59,计提明细表!$C$4:$C$59,$A9,计提明细表!$B$4:$B$59,"深圳星期零",计提明细表!$J$4:$J$59,0.06)</f>
        <v/>
      </c>
      <c r="E9" s="12">
        <f>SUMIFS(计提明细表!$I$4:$I$59,计提明细表!$C$4:$C$59,$A9,计提明细表!$B$4:$B$59,"深圳星期零",计提明细表!$J$4:$J$59,0.13)</f>
        <v/>
      </c>
      <c r="F9" s="12">
        <f>SUMIFS(计提明细表!$I$4:$I$59,计提明细表!$C$4:$C$59,$A9,计提明细表!$B$4:$B$59,"孝感星期九",计提明细表!$J$4:$J$59,0.09)</f>
        <v/>
      </c>
      <c r="G9" s="12">
        <f>SUMIFS(计提明细表!$I$4:$I$59,计提明细表!$C$4:$C$59,$A9,计提明细表!$B$4:$B$59,"孝感星期九",计提明细表!$J$4:$J$59,0.06)</f>
        <v/>
      </c>
      <c r="H9" s="12">
        <f>SUMIFS(计提明细表!$I$4:$I$59,计提明细表!$C$4:$C$59,$A9,计提明细表!$B$4:$B$59,"孝感星期九",计提明细表!$J$4:$J$59,0.13)</f>
        <v/>
      </c>
      <c r="I9" s="12">
        <f>SUMIFS(计提明细表!$I$4:$I$59,计提明细表!$C$4:$C$59,$A9,计提明细表!$B$4:$B$59,"深圳星期九",计提明细表!$J$4:$J$59,0.09)</f>
        <v/>
      </c>
      <c r="J9" s="12">
        <f>SUMIFS(计提明细表!$I$4:$I$59,计提明细表!$C$4:$C$59,$A9,计提明细表!$B$4:$B$59,"深圳星期九",计提明细表!$J$4:$J$59,0.06)</f>
        <v/>
      </c>
      <c r="K9" s="12">
        <f>SUMIFS(计提明细表!$I$4:$I$59,计提明细表!$C$4:$C$59,$A9,计提明细表!$B$4:$B$59,"深圳星期九",计提明细表!$J$4:$J$59,0.13)</f>
        <v/>
      </c>
      <c r="L9" s="38" t="n"/>
      <c r="M9" s="38" t="n"/>
      <c r="N9" s="38" t="n"/>
      <c r="O9" s="38" t="n"/>
      <c r="P9" s="38" t="n"/>
    </row>
    <row r="10">
      <c r="A10" s="22" t="inlineStr">
        <is>
          <t>金刚物流</t>
        </is>
      </c>
      <c r="B10" s="12">
        <f>SUMIFS(计提明细表!$I$4:$I$59,计提明细表!$C$4:$C$59,A10)</f>
        <v/>
      </c>
      <c r="C10" s="12">
        <f>SUMIFS(计提明细表!$I$4:$I$59,计提明细表!$C$4:$C$59,$A10,计提明细表!$B$4:$B$59,"深圳星期零",计提明细表!$J$4:$J$59,0.09)</f>
        <v/>
      </c>
      <c r="D10" s="12">
        <f>SUMIFS(计提明细表!$I$4:$I$59,计提明细表!$C$4:$C$59,$A10,计提明细表!$B$4:$B$59,"深圳星期零",计提明细表!$J$4:$J$59,0.06)</f>
        <v/>
      </c>
      <c r="E10" s="12">
        <f>SUMIFS(计提明细表!$I$4:$I$59,计提明细表!$C$4:$C$59,$A10,计提明细表!$B$4:$B$59,"深圳星期零",计提明细表!$J$4:$J$59,0.13)</f>
        <v/>
      </c>
      <c r="F10" s="12">
        <f>SUMIFS(计提明细表!$I$4:$I$59,计提明细表!$C$4:$C$59,$A10,计提明细表!$B$4:$B$59,"孝感星期九",计提明细表!$J$4:$J$59,0.09)</f>
        <v/>
      </c>
      <c r="G10" s="12">
        <f>SUMIFS(计提明细表!$I$4:$I$59,计提明细表!$C$4:$C$59,$A10,计提明细表!$B$4:$B$59,"孝感星期九",计提明细表!$J$4:$J$59,0.06)</f>
        <v/>
      </c>
      <c r="H10" s="12">
        <f>SUMIFS(计提明细表!$I$4:$I$59,计提明细表!$C$4:$C$59,$A10,计提明细表!$B$4:$B$59,"孝感星期九",计提明细表!$J$4:$J$59,0.13)</f>
        <v/>
      </c>
      <c r="I10" s="12">
        <f>SUMIFS(计提明细表!$I$4:$I$59,计提明细表!$C$4:$C$59,$A10,计提明细表!$B$4:$B$59,"深圳星期九",计提明细表!$J$4:$J$59,0.09)</f>
        <v/>
      </c>
      <c r="J10" s="12">
        <f>SUMIFS(计提明细表!$I$4:$I$59,计提明细表!$C$4:$C$59,$A10,计提明细表!$B$4:$B$59,"深圳星期九",计提明细表!$J$4:$J$59,0.06)</f>
        <v/>
      </c>
      <c r="K10" s="12">
        <f>SUMIFS(计提明细表!$I$4:$I$59,计提明细表!$C$4:$C$59,$A10,计提明细表!$B$4:$B$59,"深圳星期九",计提明细表!$J$4:$J$59,0.13)</f>
        <v/>
      </c>
      <c r="L10" s="38" t="n"/>
      <c r="M10" s="38" t="n"/>
      <c r="N10" s="38" t="n"/>
      <c r="O10" s="38" t="n"/>
      <c r="P10" s="38" t="n"/>
    </row>
    <row r="11">
      <c r="A11" s="22" t="inlineStr">
        <is>
          <t>链盟</t>
        </is>
      </c>
      <c r="B11" s="12">
        <f>SUMIFS(计提明细表!$I$4:$I$59,计提明细表!$C$4:$C$59,A11)</f>
        <v/>
      </c>
      <c r="C11" s="12">
        <f>SUMIFS(计提明细表!$I$4:$I$59,计提明细表!$C$4:$C$59,$A11,计提明细表!$B$4:$B$59,"深圳星期零",计提明细表!$J$4:$J$59,0.09)</f>
        <v/>
      </c>
      <c r="D11" s="12">
        <f>SUMIFS(计提明细表!$I$4:$I$59,计提明细表!$C$4:$C$59,$A11,计提明细表!$B$4:$B$59,"深圳星期零",计提明细表!$J$4:$J$59,0.06)</f>
        <v/>
      </c>
      <c r="E11" s="12">
        <f>SUMIFS(计提明细表!$I$4:$I$59,计提明细表!$C$4:$C$59,$A11,计提明细表!$B$4:$B$59,"深圳星期零",计提明细表!$J$4:$J$59,0.13)</f>
        <v/>
      </c>
      <c r="F11" s="12">
        <f>SUMIFS(计提明细表!$I$4:$I$59,计提明细表!$C$4:$C$59,$A11,计提明细表!$B$4:$B$59,"孝感星期九",计提明细表!$J$4:$J$59,0.09)</f>
        <v/>
      </c>
      <c r="G11" s="12">
        <f>SUMIFS(计提明细表!$I$4:$I$59,计提明细表!$C$4:$C$59,$A11,计提明细表!$B$4:$B$59,"孝感星期九",计提明细表!$J$4:$J$59,0.06)</f>
        <v/>
      </c>
      <c r="H11" s="12">
        <f>SUMIFS(计提明细表!$I$4:$I$59,计提明细表!$C$4:$C$59,$A11,计提明细表!$B$4:$B$59,"孝感星期九",计提明细表!$J$4:$J$59,0.13)</f>
        <v/>
      </c>
      <c r="I11" s="12">
        <f>SUMIFS(计提明细表!$I$4:$I$59,计提明细表!$C$4:$C$59,$A11,计提明细表!$B$4:$B$59,"深圳星期九",计提明细表!$J$4:$J$59,0.09)</f>
        <v/>
      </c>
      <c r="J11" s="12">
        <f>SUMIFS(计提明细表!$I$4:$I$59,计提明细表!$C$4:$C$59,$A11,计提明细表!$B$4:$B$59,"深圳星期九",计提明细表!$J$4:$J$59,0.06)</f>
        <v/>
      </c>
      <c r="K11" s="12">
        <f>SUMIFS(计提明细表!$I$4:$I$59,计提明细表!$C$4:$C$59,$A11,计提明细表!$B$4:$B$59,"深圳星期九",计提明细表!$J$4:$J$59,0.13)</f>
        <v/>
      </c>
      <c r="L11" s="38" t="n"/>
      <c r="M11" s="38" t="n"/>
      <c r="N11" s="38" t="n"/>
      <c r="O11" s="38" t="n"/>
      <c r="P11" s="38" t="n"/>
    </row>
    <row r="12">
      <c r="A12" s="22" t="inlineStr">
        <is>
          <t>路凯（13%）</t>
        </is>
      </c>
      <c r="B12" s="12">
        <f>SUMIFS(计提明细表!$I$4:$I$59,计提明细表!$C$4:$C$59,A12)</f>
        <v/>
      </c>
      <c r="C12" s="12">
        <f>SUMIFS(计提明细表!$I$4:$I$59,计提明细表!$C$4:$C$59,$A12,计提明细表!$B$4:$B$59,"深圳星期零",计提明细表!$J$4:$J$59,0.09)</f>
        <v/>
      </c>
      <c r="D12" s="12">
        <f>SUMIFS(计提明细表!$I$4:$I$59,计提明细表!$C$4:$C$59,$A12,计提明细表!$B$4:$B$59,"深圳星期零",计提明细表!$J$4:$J$59,0.06)</f>
        <v/>
      </c>
      <c r="E12" s="12">
        <f>SUMIFS(计提明细表!$I$4:$I$59,计提明细表!$C$4:$C$59,$A12,计提明细表!$B$4:$B$59,"深圳星期零",计提明细表!$J$4:$J$59,0.13)</f>
        <v/>
      </c>
      <c r="F12" s="12">
        <f>SUMIFS(计提明细表!$I$4:$I$59,计提明细表!$C$4:$C$59,$A12,计提明细表!$B$4:$B$59,"孝感星期九",计提明细表!$J$4:$J$59,0.09)</f>
        <v/>
      </c>
      <c r="G12" s="12">
        <f>SUMIFS(计提明细表!$I$4:$I$59,计提明细表!$C$4:$C$59,$A12,计提明细表!$B$4:$B$59,"孝感星期九",计提明细表!$J$4:$J$59,0.06)</f>
        <v/>
      </c>
      <c r="H12" s="12">
        <f>SUMIFS(计提明细表!$I$4:$I$59,计提明细表!$C$4:$C$59,$A12,计提明细表!$B$4:$B$59,"孝感星期九",计提明细表!$J$4:$J$59,0.13)</f>
        <v/>
      </c>
      <c r="I12" s="12">
        <f>SUMIFS(计提明细表!$I$4:$I$59,计提明细表!$C$4:$C$59,$A12,计提明细表!$B$4:$B$59,"深圳星期九",计提明细表!$J$4:$J$59,0.09)</f>
        <v/>
      </c>
      <c r="J12" s="12">
        <f>SUMIFS(计提明细表!$I$4:$I$59,计提明细表!$C$4:$C$59,$A12,计提明细表!$B$4:$B$59,"深圳星期九",计提明细表!$J$4:$J$59,0.06)</f>
        <v/>
      </c>
      <c r="K12" s="12">
        <f>SUMIFS(计提明细表!$I$4:$I$59,计提明细表!$C$4:$C$59,$A12,计提明细表!$B$4:$B$59,"深圳星期九",计提明细表!$J$4:$J$59,0.13)</f>
        <v/>
      </c>
      <c r="L12" s="38" t="n"/>
      <c r="M12" s="38" t="n"/>
      <c r="N12" s="38" t="n"/>
      <c r="O12" s="38" t="n"/>
      <c r="P12" s="38" t="n"/>
    </row>
    <row r="13">
      <c r="A13" s="22" t="inlineStr">
        <is>
          <t>中通快运</t>
        </is>
      </c>
      <c r="B13" s="12">
        <f>SUMIFS(计提明细表!$I$4:$I$59,计提明细表!$C$4:$C$59,A13)</f>
        <v/>
      </c>
      <c r="C13" s="12">
        <f>SUMIFS(计提明细表!$I$4:$I$59,计提明细表!$C$4:$C$59,$A13,计提明细表!$B$4:$B$59,"深圳星期零",计提明细表!$J$4:$J$59,0.09)</f>
        <v/>
      </c>
      <c r="D13" s="12">
        <f>SUMIFS(计提明细表!$I$4:$I$59,计提明细表!$C$4:$C$59,$A13,计提明细表!$B$4:$B$59,"深圳星期零",计提明细表!$J$4:$J$59,0.06)</f>
        <v/>
      </c>
      <c r="E13" s="12">
        <f>SUMIFS(计提明细表!$I$4:$I$59,计提明细表!$C$4:$C$59,$A13,计提明细表!$B$4:$B$59,"深圳星期零",计提明细表!$J$4:$J$59,0.13)</f>
        <v/>
      </c>
      <c r="F13" s="12">
        <f>SUMIFS(计提明细表!$I$4:$I$59,计提明细表!$C$4:$C$59,$A13,计提明细表!$B$4:$B$59,"孝感星期九",计提明细表!$J$4:$J$59,0.09)</f>
        <v/>
      </c>
      <c r="G13" s="12">
        <f>SUMIFS(计提明细表!$I$4:$I$59,计提明细表!$C$4:$C$59,$A13,计提明细表!$B$4:$B$59,"孝感星期九",计提明细表!$J$4:$J$59,0.06)</f>
        <v/>
      </c>
      <c r="H13" s="12">
        <f>SUMIFS(计提明细表!$I$4:$I$59,计提明细表!$C$4:$C$59,$A13,计提明细表!$B$4:$B$59,"孝感星期九",计提明细表!$J$4:$J$59,0.13)</f>
        <v/>
      </c>
      <c r="I13" s="12">
        <f>SUMIFS(计提明细表!$I$4:$I$59,计提明细表!$C$4:$C$59,$A13,计提明细表!$B$4:$B$59,"深圳星期九",计提明细表!$J$4:$J$59,0.09)</f>
        <v/>
      </c>
      <c r="J13" s="12">
        <f>SUMIFS(计提明细表!$I$4:$I$59,计提明细表!$C$4:$C$59,$A13,计提明细表!$B$4:$B$59,"深圳星期九",计提明细表!$J$4:$J$59,0.06)</f>
        <v/>
      </c>
      <c r="K13" s="12">
        <f>SUMIFS(计提明细表!$I$4:$I$59,计提明细表!$C$4:$C$59,$A13,计提明细表!$B$4:$B$59,"深圳星期九",计提明细表!$J$4:$J$59,0.13)</f>
        <v/>
      </c>
      <c r="L13" s="38" t="n"/>
      <c r="M13" s="38" t="n"/>
      <c r="N13" s="38" t="n"/>
      <c r="O13" s="38" t="n"/>
      <c r="P13" s="38" t="n"/>
    </row>
    <row r="14">
      <c r="A14" s="22" t="inlineStr">
        <is>
          <t>极鲜达</t>
        </is>
      </c>
      <c r="B14" s="12">
        <f>SUMIFS(计提明细表!$I$4:$I$59,计提明细表!$C$4:$C$59,A14)</f>
        <v/>
      </c>
      <c r="C14" s="12">
        <f>SUMIFS(计提明细表!$I$4:$I$59,计提明细表!$C$4:$C$59,$A14,计提明细表!$B$4:$B$59,"深圳星期零",计提明细表!$J$4:$J$59,0.09)</f>
        <v/>
      </c>
      <c r="D14" s="12">
        <f>SUMIFS(计提明细表!$I$4:$I$59,计提明细表!$C$4:$C$59,$A14,计提明细表!$B$4:$B$59,"深圳星期零",计提明细表!$J$4:$J$59,0.06)</f>
        <v/>
      </c>
      <c r="E14" s="12">
        <f>SUMIFS(计提明细表!$I$4:$I$59,计提明细表!$C$4:$C$59,$A14,计提明细表!$B$4:$B$59,"深圳星期零",计提明细表!$J$4:$J$59,0.13)</f>
        <v/>
      </c>
      <c r="F14" s="12">
        <f>SUMIFS(计提明细表!$I$4:$I$59,计提明细表!$C$4:$C$59,$A14,计提明细表!$B$4:$B$59,"孝感星期九",计提明细表!$J$4:$J$59,0.09)</f>
        <v/>
      </c>
      <c r="G14" s="12">
        <f>SUMIFS(计提明细表!$I$4:$I$59,计提明细表!$C$4:$C$59,$A14,计提明细表!$B$4:$B$59,"孝感星期九",计提明细表!$J$4:$J$59,0.06)</f>
        <v/>
      </c>
      <c r="H14" s="12">
        <f>SUMIFS(计提明细表!$I$4:$I$59,计提明细表!$C$4:$C$59,$A14,计提明细表!$B$4:$B$59,"孝感星期九",计提明细表!$J$4:$J$59,0.13)</f>
        <v/>
      </c>
      <c r="I14" s="12">
        <f>SUMIFS(计提明细表!$I$4:$I$59,计提明细表!$C$4:$C$59,$A14,计提明细表!$B$4:$B$59,"深圳星期九",计提明细表!$J$4:$J$59,0.09)</f>
        <v/>
      </c>
      <c r="J14" s="12">
        <f>SUMIFS(计提明细表!$I$4:$I$59,计提明细表!$C$4:$C$59,$A14,计提明细表!$B$4:$B$59,"深圳星期九",计提明细表!$J$4:$J$59,0.06)</f>
        <v/>
      </c>
      <c r="K14" s="12">
        <f>SUMIFS(计提明细表!$I$4:$I$59,计提明细表!$C$4:$C$59,$A14,计提明细表!$B$4:$B$59,"深圳星期九",计提明细表!$J$4:$J$59,0.13)</f>
        <v/>
      </c>
      <c r="L14" s="38" t="n"/>
      <c r="M14" s="38" t="n"/>
      <c r="N14" s="38" t="n"/>
      <c r="O14" s="38" t="n"/>
      <c r="P14" s="38" t="n"/>
    </row>
    <row r="15">
      <c r="A15" s="22" t="inlineStr">
        <is>
          <t>丰源</t>
        </is>
      </c>
      <c r="B15" s="12">
        <f>SUMIFS(计提明细表!$I$4:$I$59,计提明细表!$C$4:$C$59,A15)</f>
        <v/>
      </c>
      <c r="C15" s="12">
        <f>SUMIFS(计提明细表!$I$4:$I$59,计提明细表!$C$4:$C$59,$A15,计提明细表!$B$4:$B$59,"深圳星期零",计提明细表!$J$4:$J$59,0.09)</f>
        <v/>
      </c>
      <c r="D15" s="12">
        <f>SUMIFS(计提明细表!$I$4:$I$59,计提明细表!$C$4:$C$59,$A15,计提明细表!$B$4:$B$59,"深圳星期零",计提明细表!$J$4:$J$59,0.06)</f>
        <v/>
      </c>
      <c r="E15" s="12">
        <f>SUMIFS(计提明细表!$I$4:$I$59,计提明细表!$C$4:$C$59,$A15,计提明细表!$B$4:$B$59,"深圳星期零",计提明细表!$J$4:$J$59,0.13)</f>
        <v/>
      </c>
      <c r="F15" s="12">
        <f>SUMIFS(计提明细表!$I$4:$I$59,计提明细表!$C$4:$C$59,$A15,计提明细表!$B$4:$B$59,"孝感星期九",计提明细表!$J$4:$J$59,0.09)</f>
        <v/>
      </c>
      <c r="G15" s="12">
        <f>SUMIFS(计提明细表!$I$4:$I$59,计提明细表!$C$4:$C$59,$A15,计提明细表!$B$4:$B$59,"孝感星期九",计提明细表!$J$4:$J$59,0.06)</f>
        <v/>
      </c>
      <c r="H15" s="12">
        <f>SUMIFS(计提明细表!$I$4:$I$59,计提明细表!$C$4:$C$59,$A15,计提明细表!$B$4:$B$59,"孝感星期九",计提明细表!$J$4:$J$59,0.13)</f>
        <v/>
      </c>
      <c r="I15" s="12">
        <f>SUMIFS(计提明细表!$I$4:$I$59,计提明细表!$C$4:$C$59,$A15,计提明细表!$B$4:$B$59,"深圳星期九",计提明细表!$J$4:$J$59,0.09)</f>
        <v/>
      </c>
      <c r="J15" s="12">
        <f>SUMIFS(计提明细表!$I$4:$I$59,计提明细表!$C$4:$C$59,$A15,计提明细表!$B$4:$B$59,"深圳星期九",计提明细表!$J$4:$J$59,0.06)</f>
        <v/>
      </c>
      <c r="K15" s="12">
        <f>SUMIFS(计提明细表!$I$4:$I$59,计提明细表!$C$4:$C$59,$A15,计提明细表!$B$4:$B$59,"深圳星期九",计提明细表!$J$4:$J$59,0.13)</f>
        <v/>
      </c>
      <c r="L15" s="38" t="n"/>
      <c r="M15" s="38" t="n"/>
      <c r="N15" s="38" t="n"/>
      <c r="O15" s="38" t="n"/>
      <c r="P15" s="38" t="n"/>
    </row>
    <row r="16">
      <c r="A16" s="22" t="inlineStr">
        <is>
          <t>山姆VMI</t>
        </is>
      </c>
      <c r="B16" s="12">
        <f>SUMIFS(计提明细表!$I$4:$I$59,计提明细表!$C$4:$C$59,A16)</f>
        <v/>
      </c>
      <c r="C16" s="12">
        <f>SUMIFS(计提明细表!$I$4:$I$59,计提明细表!$C$4:$C$59,$A16,计提明细表!$B$4:$B$59,"深圳星期零",计提明细表!$J$4:$J$59,0.09)</f>
        <v/>
      </c>
      <c r="D16" s="12">
        <f>SUMIFS(计提明细表!$I$4:$I$59,计提明细表!$C$4:$C$59,$A16,计提明细表!$B$4:$B$59,"深圳星期零",计提明细表!$J$4:$J$59,0.06)</f>
        <v/>
      </c>
      <c r="E16" s="12">
        <f>SUMIFS(计提明细表!$I$4:$I$59,计提明细表!$C$4:$C$59,$A16,计提明细表!$B$4:$B$59,"深圳星期零",计提明细表!$J$4:$J$59,0.13)</f>
        <v/>
      </c>
      <c r="F16" s="12">
        <f>SUMIFS(计提明细表!$I$4:$I$59,计提明细表!$C$4:$C$59,$A16,计提明细表!$B$4:$B$59,"孝感星期九",计提明细表!$J$4:$J$59,0.09)</f>
        <v/>
      </c>
      <c r="G16" s="12">
        <f>SUMIFS(计提明细表!$I$4:$I$59,计提明细表!$C$4:$C$59,$A16,计提明细表!$B$4:$B$59,"孝感星期九",计提明细表!$J$4:$J$59,0.06)</f>
        <v/>
      </c>
      <c r="H16" s="12">
        <f>SUMIFS(计提明细表!$I$4:$I$59,计提明细表!$C$4:$C$59,$A16,计提明细表!$B$4:$B$59,"孝感星期九",计提明细表!$J$4:$J$59,0.13)</f>
        <v/>
      </c>
      <c r="I16" s="12">
        <f>SUMIFS(计提明细表!$I$4:$I$59,计提明细表!$C$4:$C$59,$A16,计提明细表!$B$4:$B$59,"深圳星期九",计提明细表!$J$4:$J$59,0.09)</f>
        <v/>
      </c>
      <c r="J16" s="12">
        <f>SUMIFS(计提明细表!$I$4:$I$59,计提明细表!$C$4:$C$59,$A16,计提明细表!$B$4:$B$59,"深圳星期九",计提明细表!$J$4:$J$59,0.06)</f>
        <v/>
      </c>
      <c r="K16" s="12">
        <f>SUMIFS(计提明细表!$I$4:$I$59,计提明细表!$C$4:$C$59,$A16,计提明细表!$B$4:$B$59,"深圳星期九",计提明细表!$J$4:$J$59,0.13)</f>
        <v/>
      </c>
      <c r="L16" s="38" t="n"/>
      <c r="M16" s="38" t="n"/>
      <c r="N16" s="38" t="n"/>
      <c r="O16" s="38" t="n"/>
      <c r="P16" s="38" t="n"/>
    </row>
    <row r="17">
      <c r="A17" s="22" t="inlineStr">
        <is>
          <t>天鹰物流</t>
        </is>
      </c>
      <c r="B17" s="12">
        <f>SUMIFS(计提明细表!$I$4:$I$59,计提明细表!$C$4:$C$59,A17)</f>
        <v/>
      </c>
      <c r="C17" s="12">
        <f>SUMIFS(计提明细表!$I$4:$I$59,计提明细表!$C$4:$C$59,$A17,计提明细表!$B$4:$B$59,"深圳星期零",计提明细表!$J$4:$J$59,0.09)</f>
        <v/>
      </c>
      <c r="D17" s="12">
        <f>SUMIFS(计提明细表!$I$4:$I$59,计提明细表!$C$4:$C$59,$A17,计提明细表!$B$4:$B$59,"深圳星期零",计提明细表!$J$4:$J$59,0.06)</f>
        <v/>
      </c>
      <c r="E17" s="12">
        <f>SUMIFS(计提明细表!$I$4:$I$59,计提明细表!$C$4:$C$59,$A17,计提明细表!$B$4:$B$59,"深圳星期零",计提明细表!$J$4:$J$59,0.13)</f>
        <v/>
      </c>
      <c r="F17" s="12">
        <f>SUMIFS(计提明细表!$I$4:$I$59,计提明细表!$C$4:$C$59,$A17,计提明细表!$B$4:$B$59,"孝感星期九",计提明细表!$J$4:$J$59,0.09)</f>
        <v/>
      </c>
      <c r="G17" s="12">
        <f>SUMIFS(计提明细表!$I$4:$I$59,计提明细表!$C$4:$C$59,$A17,计提明细表!$B$4:$B$59,"孝感星期九",计提明细表!$J$4:$J$59,0.06)</f>
        <v/>
      </c>
      <c r="H17" s="12">
        <f>SUMIFS(计提明细表!$I$4:$I$59,计提明细表!$C$4:$C$59,$A17,计提明细表!$B$4:$B$59,"孝感星期九",计提明细表!$J$4:$J$59,0.13)</f>
        <v/>
      </c>
      <c r="I17" s="12">
        <f>SUMIFS(计提明细表!$I$4:$I$59,计提明细表!$C$4:$C$59,$A17,计提明细表!$B$4:$B$59,"深圳星期九",计提明细表!$J$4:$J$59,0.09)</f>
        <v/>
      </c>
      <c r="J17" s="12">
        <f>SUMIFS(计提明细表!$I$4:$I$59,计提明细表!$C$4:$C$59,$A17,计提明细表!$B$4:$B$59,"深圳星期九",计提明细表!$J$4:$J$59,0.06)</f>
        <v/>
      </c>
      <c r="K17" s="12">
        <f>SUMIFS(计提明细表!$I$4:$I$59,计提明细表!$C$4:$C$59,$A17,计提明细表!$B$4:$B$59,"深圳星期九",计提明细表!$J$4:$J$59,0.13)</f>
        <v/>
      </c>
      <c r="L17" s="38" t="n"/>
      <c r="M17" s="38" t="n"/>
      <c r="N17" s="38" t="n"/>
      <c r="O17" s="38" t="n"/>
      <c r="P17" s="38" t="n"/>
    </row>
    <row r="18">
      <c r="A18" s="22" t="inlineStr">
        <is>
          <t>比翼电商仓</t>
        </is>
      </c>
      <c r="B18" s="12">
        <f>SUMIFS(计提明细表!$I$4:$I$59,计提明细表!$C$4:$C$59,A18)</f>
        <v/>
      </c>
      <c r="C18" s="12">
        <f>SUMIFS(计提明细表!$I$4:$I$59,计提明细表!$C$4:$C$59,$A18,计提明细表!$B$4:$B$59,"深圳星期零",计提明细表!$J$4:$J$59,0.09)</f>
        <v/>
      </c>
      <c r="D18" s="12">
        <f>SUMIFS(计提明细表!$I$4:$I$59,计提明细表!$C$4:$C$59,$A18,计提明细表!$B$4:$B$59,"深圳星期零",计提明细表!$J$4:$J$59,0.06)</f>
        <v/>
      </c>
      <c r="E18" s="12">
        <f>SUMIFS(计提明细表!$I$4:$I$59,计提明细表!$C$4:$C$59,$A18,计提明细表!$B$4:$B$59,"深圳星期零",计提明细表!$J$4:$J$59,0.13)</f>
        <v/>
      </c>
      <c r="F18" s="12">
        <f>SUMIFS(计提明细表!$I$4:$I$59,计提明细表!$C$4:$C$59,$A18,计提明细表!$B$4:$B$59,"孝感星期九",计提明细表!$J$4:$J$59,0.09)</f>
        <v/>
      </c>
      <c r="G18" s="12">
        <f>SUMIFS(计提明细表!$I$4:$I$59,计提明细表!$C$4:$C$59,$A18,计提明细表!$B$4:$B$59,"孝感星期九",计提明细表!$J$4:$J$59,0.06)</f>
        <v/>
      </c>
      <c r="H18" s="12">
        <f>SUMIFS(计提明细表!$I$4:$I$59,计提明细表!$C$4:$C$59,$A18,计提明细表!$B$4:$B$59,"孝感星期九",计提明细表!$J$4:$J$59,0.13)</f>
        <v/>
      </c>
      <c r="I18" s="12">
        <f>SUMIFS(计提明细表!$I$4:$I$59,计提明细表!$C$4:$C$59,$A18,计提明细表!$B$4:$B$59,"深圳星期九",计提明细表!$J$4:$J$59,0.09)</f>
        <v/>
      </c>
      <c r="J18" s="12">
        <f>SUMIFS(计提明细表!$I$4:$I$59,计提明细表!$C$4:$C$59,$A18,计提明细表!$B$4:$B$59,"深圳星期九",计提明细表!$J$4:$J$59,0.06)</f>
        <v/>
      </c>
      <c r="K18" s="12">
        <f>SUMIFS(计提明细表!$I$4:$I$59,计提明细表!$C$4:$C$59,$A18,计提明细表!$B$4:$B$59,"深圳星期九",计提明细表!$J$4:$J$59,0.13)</f>
        <v/>
      </c>
      <c r="L18" s="38" t="n"/>
      <c r="M18" s="38" t="n"/>
      <c r="N18" s="38" t="n"/>
      <c r="O18" s="38" t="n"/>
      <c r="P18" s="38" t="n"/>
    </row>
    <row r="19">
      <c r="A19" s="22" t="inlineStr">
        <is>
          <t>顺鸽电商仓</t>
        </is>
      </c>
      <c r="B19" s="12">
        <f>SUMIFS(计提明细表!$I$4:$I$59,计提明细表!$C$4:$C$59,A19)</f>
        <v/>
      </c>
      <c r="C19" s="12">
        <f>SUMIFS(计提明细表!$I$4:$I$59,计提明细表!$C$4:$C$59,$A19,计提明细表!$B$4:$B$59,"深圳星期零",计提明细表!$J$4:$J$59,0.09)</f>
        <v/>
      </c>
      <c r="D19" s="12">
        <f>SUMIFS(计提明细表!$I$4:$I$59,计提明细表!$C$4:$C$59,$A19,计提明细表!$B$4:$B$59,"深圳星期零",计提明细表!$J$4:$J$59,0.06)</f>
        <v/>
      </c>
      <c r="E19" s="12">
        <f>SUMIFS(计提明细表!$I$4:$I$59,计提明细表!$C$4:$C$59,$A19,计提明细表!$B$4:$B$59,"深圳星期零",计提明细表!$J$4:$J$59,0.13)</f>
        <v/>
      </c>
      <c r="F19" s="12">
        <f>SUMIFS(计提明细表!$I$4:$I$59,计提明细表!$C$4:$C$59,$A19,计提明细表!$B$4:$B$59,"孝感星期九",计提明细表!$J$4:$J$59,0.09)</f>
        <v/>
      </c>
      <c r="G19" s="12">
        <f>SUMIFS(计提明细表!$I$4:$I$59,计提明细表!$C$4:$C$59,$A19,计提明细表!$B$4:$B$59,"孝感星期九",计提明细表!$J$4:$J$59,0.06)</f>
        <v/>
      </c>
      <c r="H19" s="12">
        <f>SUMIFS(计提明细表!$I$4:$I$59,计提明细表!$C$4:$C$59,$A19,计提明细表!$B$4:$B$59,"孝感星期九",计提明细表!$J$4:$J$59,0.13)</f>
        <v/>
      </c>
      <c r="I19" s="12">
        <f>SUMIFS(计提明细表!$I$4:$I$59,计提明细表!$C$4:$C$59,$A19,计提明细表!$B$4:$B$59,"深圳星期九",计提明细表!$J$4:$J$59,0.09)</f>
        <v/>
      </c>
      <c r="J19" s="12">
        <f>SUMIFS(计提明细表!$I$4:$I$59,计提明细表!$C$4:$C$59,$A19,计提明细表!$B$4:$B$59,"深圳星期九",计提明细表!$J$4:$J$59,0.06)</f>
        <v/>
      </c>
      <c r="K19" s="12">
        <f>SUMIFS(计提明细表!$I$4:$I$59,计提明细表!$C$4:$C$59,$A19,计提明细表!$B$4:$B$59,"深圳星期九",计提明细表!$J$4:$J$59,0.13)</f>
        <v/>
      </c>
      <c r="L19" s="38" t="n"/>
      <c r="M19" s="38" t="n"/>
      <c r="N19" s="38" t="n"/>
      <c r="O19" s="38" t="n"/>
      <c r="P19" s="38" t="n"/>
    </row>
    <row r="20">
      <c r="A20" s="22" t="inlineStr">
        <is>
          <t>嵘盛</t>
        </is>
      </c>
      <c r="B20" s="12">
        <f>SUMIFS(计提明细表!$I$4:$I$59,计提明细表!$C$4:$C$59,A20)</f>
        <v/>
      </c>
      <c r="C20" s="12">
        <f>SUMIFS(计提明细表!$I$4:$I$59,计提明细表!$C$4:$C$59,$A20,计提明细表!$B$4:$B$59,"深圳星期零",计提明细表!$J$4:$J$59,0.09)</f>
        <v/>
      </c>
      <c r="D20" s="12">
        <f>SUMIFS(计提明细表!$I$4:$I$59,计提明细表!$C$4:$C$59,$A20,计提明细表!$B$4:$B$59,"深圳星期零",计提明细表!$J$4:$J$59,0.06)</f>
        <v/>
      </c>
      <c r="E20" s="12">
        <f>SUMIFS(计提明细表!$I$4:$I$59,计提明细表!$C$4:$C$59,$A20,计提明细表!$B$4:$B$59,"深圳星期零",计提明细表!$J$4:$J$59,0.13)</f>
        <v/>
      </c>
      <c r="F20" s="12">
        <f>SUMIFS(计提明细表!$I$4:$I$59,计提明细表!$C$4:$C$59,$A20,计提明细表!$B$4:$B$59,"孝感星期九",计提明细表!$J$4:$J$59,0.09)</f>
        <v/>
      </c>
      <c r="G20" s="12">
        <f>SUMIFS(计提明细表!$I$4:$I$59,计提明细表!$C$4:$C$59,$A20,计提明细表!$B$4:$B$59,"孝感星期九",计提明细表!$J$4:$J$59,0.06)</f>
        <v/>
      </c>
      <c r="H20" s="12">
        <f>SUMIFS(计提明细表!$I$4:$I$59,计提明细表!$C$4:$C$59,$A20,计提明细表!$B$4:$B$59,"孝感星期九",计提明细表!$J$4:$J$59,0.13)</f>
        <v/>
      </c>
      <c r="I20" s="12">
        <f>SUMIFS(计提明细表!$I$4:$I$59,计提明细表!$C$4:$C$59,$A20,计提明细表!$B$4:$B$59,"深圳星期九",计提明细表!$J$4:$J$59,0.09)</f>
        <v/>
      </c>
      <c r="J20" s="12">
        <f>SUMIFS(计提明细表!$I$4:$I$59,计提明细表!$C$4:$C$59,$A20,计提明细表!$B$4:$B$59,"深圳星期九",计提明细表!$J$4:$J$59,0.06)</f>
        <v/>
      </c>
      <c r="K20" s="12">
        <f>SUMIFS(计提明细表!$I$4:$I$59,计提明细表!$C$4:$C$59,$A20,计提明细表!$B$4:$B$59,"深圳星期九",计提明细表!$J$4:$J$59,0.13)</f>
        <v/>
      </c>
      <c r="L20" s="38" t="n"/>
      <c r="M20" s="38" t="n"/>
      <c r="N20" s="38" t="n"/>
      <c r="O20" s="38" t="n"/>
      <c r="P20" s="38" t="n"/>
    </row>
    <row r="21">
      <c r="A21" s="22" t="inlineStr">
        <is>
          <t>大润发</t>
        </is>
      </c>
      <c r="B21" s="12">
        <f>SUMIFS(计提明细表!$I$4:$I$59,计提明细表!$C$4:$C$59,A21)</f>
        <v/>
      </c>
      <c r="C21" s="12">
        <f>SUMIFS(计提明细表!$I$4:$I$59,计提明细表!$C$4:$C$59,$A21,计提明细表!$B$4:$B$59,"深圳星期零",计提明细表!$J$4:$J$59,0.09)</f>
        <v/>
      </c>
      <c r="D21" s="12">
        <f>SUMIFS(计提明细表!$I$4:$I$59,计提明细表!$C$4:$C$59,$A21,计提明细表!$B$4:$B$59,"深圳星期零",计提明细表!$J$4:$J$59,0.06)</f>
        <v/>
      </c>
      <c r="E21" s="12">
        <f>SUMIFS(计提明细表!$I$4:$I$59,计提明细表!$C$4:$C$59,$A21,计提明细表!$B$4:$B$59,"深圳星期零",计提明细表!$J$4:$J$59,0.13)</f>
        <v/>
      </c>
      <c r="F21" s="12">
        <f>SUMIFS(计提明细表!$I$4:$I$59,计提明细表!$C$4:$C$59,$A21,计提明细表!$B$4:$B$59,"孝感星期九",计提明细表!$J$4:$J$59,0.09)</f>
        <v/>
      </c>
      <c r="G21" s="12">
        <f>SUMIFS(计提明细表!$I$4:$I$59,计提明细表!$C$4:$C$59,$A21,计提明细表!$B$4:$B$59,"孝感星期九",计提明细表!$J$4:$J$59,0.06)</f>
        <v/>
      </c>
      <c r="H21" s="12">
        <f>SUMIFS(计提明细表!$I$4:$I$59,计提明细表!$C$4:$C$59,$A21,计提明细表!$B$4:$B$59,"孝感星期九",计提明细表!$J$4:$J$59,0.13)</f>
        <v/>
      </c>
      <c r="I21" s="12">
        <f>SUMIFS(计提明细表!$I$4:$I$59,计提明细表!$C$4:$C$59,$A21,计提明细表!$B$4:$B$59,"深圳星期九",计提明细表!$J$4:$J$59,0.09)</f>
        <v/>
      </c>
      <c r="J21" s="12">
        <f>SUMIFS(计提明细表!$I$4:$I$59,计提明细表!$C$4:$C$59,$A21,计提明细表!$B$4:$B$59,"深圳星期九",计提明细表!$J$4:$J$59,0.06)</f>
        <v/>
      </c>
      <c r="K21" s="12">
        <f>SUMIFS(计提明细表!$I$4:$I$59,计提明细表!$C$4:$C$59,$A21,计提明细表!$B$4:$B$59,"深圳星期九",计提明细表!$J$4:$J$59,0.13)</f>
        <v/>
      </c>
      <c r="L21" s="38" t="n"/>
      <c r="M21" s="38" t="n"/>
      <c r="N21" s="38" t="n"/>
      <c r="O21" s="38" t="n"/>
      <c r="P21" s="38" t="n"/>
    </row>
    <row r="22">
      <c r="A22" s="22" t="inlineStr">
        <is>
          <t>兆驰</t>
        </is>
      </c>
      <c r="B22" s="12">
        <f>SUMIFS(计提明细表!$I$4:$I$59,计提明细表!$C$4:$C$59,A22)</f>
        <v/>
      </c>
      <c r="C22" s="12">
        <f>SUMIFS(计提明细表!$I$4:$I$59,计提明细表!$C$4:$C$59,$A22,计提明细表!$B$4:$B$59,"深圳星期零",计提明细表!$J$4:$J$59,0.09)</f>
        <v/>
      </c>
      <c r="D22" s="12">
        <f>SUMIFS(计提明细表!$I$4:$I$59,计提明细表!$C$4:$C$59,$A22,计提明细表!$B$4:$B$59,"深圳星期零",计提明细表!$J$4:$J$59,0.06)</f>
        <v/>
      </c>
      <c r="E22" s="12">
        <f>SUMIFS(计提明细表!$I$4:$I$59,计提明细表!$C$4:$C$59,$A22,计提明细表!$B$4:$B$59,"深圳星期零",计提明细表!$J$4:$J$59,0.13)</f>
        <v/>
      </c>
      <c r="F22" s="12">
        <f>SUMIFS(计提明细表!$I$4:$I$59,计提明细表!$C$4:$C$59,$A22,计提明细表!$B$4:$B$59,"孝感星期九",计提明细表!$J$4:$J$59,0.09)</f>
        <v/>
      </c>
      <c r="G22" s="12">
        <f>SUMIFS(计提明细表!$I$4:$I$59,计提明细表!$C$4:$C$59,$A22,计提明细表!$B$4:$B$59,"孝感星期九",计提明细表!$J$4:$J$59,0.06)</f>
        <v/>
      </c>
      <c r="H22" s="12">
        <f>SUMIFS(计提明细表!$I$4:$I$59,计提明细表!$C$4:$C$59,$A22,计提明细表!$B$4:$B$59,"孝感星期九",计提明细表!$J$4:$J$59,0.13)</f>
        <v/>
      </c>
      <c r="I22" s="12">
        <f>SUMIFS(计提明细表!$I$4:$I$59,计提明细表!$C$4:$C$59,$A22,计提明细表!$B$4:$B$59,"深圳星期九",计提明细表!$J$4:$J$59,0.09)</f>
        <v/>
      </c>
      <c r="J22" s="12">
        <f>SUMIFS(计提明细表!$I$4:$I$59,计提明细表!$C$4:$C$59,$A22,计提明细表!$B$4:$B$59,"深圳星期九",计提明细表!$J$4:$J$59,0.06)</f>
        <v/>
      </c>
      <c r="K22" s="12">
        <f>SUMIFS(计提明细表!$I$4:$I$59,计提明细表!$C$4:$C$59,$A22,计提明细表!$B$4:$B$59,"深圳星期九",计提明细表!$J$4:$J$59,0.13)</f>
        <v/>
      </c>
      <c r="L22" s="38" t="n"/>
      <c r="M22" s="38" t="n"/>
      <c r="N22" s="38" t="n"/>
      <c r="O22" s="38" t="n"/>
      <c r="P22" s="38" t="n"/>
    </row>
    <row r="23">
      <c r="A23" s="22" t="inlineStr">
        <is>
          <t>中嫄</t>
        </is>
      </c>
      <c r="B23" s="12">
        <f>SUMIFS(计提明细表!$I$4:$I$59,计提明细表!$C$4:$C$59,A23)</f>
        <v/>
      </c>
      <c r="C23" s="12">
        <f>SUMIFS(计提明细表!$I$4:$I$59,计提明细表!$C$4:$C$59,$A23,计提明细表!$B$4:$B$59,"深圳星期零",计提明细表!$J$4:$J$59,0.09)</f>
        <v/>
      </c>
      <c r="D23" s="12">
        <f>SUMIFS(计提明细表!$I$4:$I$59,计提明细表!$C$4:$C$59,$A23,计提明细表!$B$4:$B$59,"深圳星期零",计提明细表!$J$4:$J$59,0.06)</f>
        <v/>
      </c>
      <c r="E23" s="12">
        <f>SUMIFS(计提明细表!$I$4:$I$59,计提明细表!$C$4:$C$59,$A23,计提明细表!$B$4:$B$59,"深圳星期零",计提明细表!$J$4:$J$59,0.13)</f>
        <v/>
      </c>
      <c r="F23" s="12">
        <f>SUMIFS(计提明细表!$I$4:$I$59,计提明细表!$C$4:$C$59,$A23,计提明细表!$B$4:$B$59,"孝感星期九",计提明细表!$J$4:$J$59,0.09)</f>
        <v/>
      </c>
      <c r="G23" s="12">
        <f>SUMIFS(计提明细表!$I$4:$I$59,计提明细表!$C$4:$C$59,$A23,计提明细表!$B$4:$B$59,"孝感星期九",计提明细表!$J$4:$J$59,0.06)</f>
        <v/>
      </c>
      <c r="H23" s="12">
        <f>SUMIFS(计提明细表!$I$4:$I$59,计提明细表!$C$4:$C$59,$A23,计提明细表!$B$4:$B$59,"孝感星期九",计提明细表!$J$4:$J$59,0.13)</f>
        <v/>
      </c>
      <c r="I23" s="12">
        <f>SUMIFS(计提明细表!$I$4:$I$59,计提明细表!$C$4:$C$59,$A23,计提明细表!$B$4:$B$59,"深圳星期九",计提明细表!$J$4:$J$59,0.09)</f>
        <v/>
      </c>
      <c r="J23" s="12">
        <f>SUMIFS(计提明细表!$I$4:$I$59,计提明细表!$C$4:$C$59,$A23,计提明细表!$B$4:$B$59,"深圳星期九",计提明细表!$J$4:$J$59,0.06)</f>
        <v/>
      </c>
      <c r="K23" s="12">
        <f>SUMIFS(计提明细表!$I$4:$I$59,计提明细表!$C$4:$C$59,$A23,计提明细表!$B$4:$B$59,"深圳星期九",计提明细表!$J$4:$J$59,0.13)</f>
        <v/>
      </c>
      <c r="L23" s="38" t="n"/>
      <c r="M23" s="38" t="n"/>
      <c r="N23" s="38" t="n"/>
      <c r="O23" s="38" t="n"/>
      <c r="P23" s="38" t="n"/>
    </row>
    <row r="24">
      <c r="A24" s="22" t="inlineStr">
        <is>
          <t>国际货运</t>
        </is>
      </c>
      <c r="B24" s="12">
        <f>SUMIFS(计提明细表!$I$4:$I$59,计提明细表!$C$4:$C$59,A24)</f>
        <v/>
      </c>
      <c r="C24" s="12">
        <f>SUMIFS(计提明细表!$I$4:$I$59,计提明细表!$C$4:$C$59,$A24,计提明细表!$B$4:$B$59,"深圳星期零",计提明细表!$J$4:$J$59,0.09)</f>
        <v/>
      </c>
      <c r="D24" s="12">
        <f>SUMIFS(计提明细表!$I$4:$I$59,计提明细表!$C$4:$C$59,$A24,计提明细表!$B$4:$B$59,"深圳星期零",计提明细表!$J$4:$J$59,0.06)</f>
        <v/>
      </c>
      <c r="E24" s="12">
        <f>SUMIFS(计提明细表!$I$4:$I$59,计提明细表!$C$4:$C$59,$A24,计提明细表!$B$4:$B$59,"深圳星期零",计提明细表!$J$4:$J$59,0.13)</f>
        <v/>
      </c>
      <c r="F24" s="12">
        <f>SUMIFS(计提明细表!$I$4:$I$59,计提明细表!$C$4:$C$59,$A24,计提明细表!$B$4:$B$59,"孝感星期九",计提明细表!$J$4:$J$59,0.09)</f>
        <v/>
      </c>
      <c r="G24" s="12">
        <f>SUMIFS(计提明细表!$I$4:$I$59,计提明细表!$C$4:$C$59,$A24,计提明细表!$B$4:$B$59,"孝感星期九",计提明细表!$J$4:$J$59,0.06)</f>
        <v/>
      </c>
      <c r="H24" s="12">
        <f>SUMIFS(计提明细表!$I$4:$I$59,计提明细表!$C$4:$C$59,$A24,计提明细表!$B$4:$B$59,"孝感星期九",计提明细表!$J$4:$J$59,0.13)</f>
        <v/>
      </c>
      <c r="I24" s="12">
        <f>SUMIFS(计提明细表!$I$4:$I$59,计提明细表!$C$4:$C$59,$A24,计提明细表!$B$4:$B$59,"深圳星期九",计提明细表!$J$4:$J$59,0.09)</f>
        <v/>
      </c>
      <c r="J24" s="12">
        <f>SUMIFS(计提明细表!$I$4:$I$59,计提明细表!$C$4:$C$59,$A24,计提明细表!$B$4:$B$59,"深圳星期九",计提明细表!$J$4:$J$59,0.06)</f>
        <v/>
      </c>
      <c r="K24" s="12">
        <f>SUMIFS(计提明细表!$I$4:$I$59,计提明细表!$C$4:$C$59,$A24,计提明细表!$B$4:$B$59,"深圳星期九",计提明细表!$J$4:$J$59,0.13)</f>
        <v/>
      </c>
      <c r="L24" s="38" t="n"/>
      <c r="M24" s="38" t="n"/>
      <c r="N24" s="38" t="n"/>
      <c r="O24" s="38" t="n"/>
      <c r="P24" s="38" t="n"/>
    </row>
    <row r="25">
      <c r="A25" s="22" t="inlineStr">
        <is>
          <t>货拉拉</t>
        </is>
      </c>
      <c r="B25" s="12">
        <f>SUMIFS(计提明细表!$I$4:$I$59,计提明细表!$C$4:$C$59,A25)</f>
        <v/>
      </c>
      <c r="C25" s="12">
        <f>SUMIFS(计提明细表!$I$4:$I$59,计提明细表!$C$4:$C$59,$A25,计提明细表!$B$4:$B$59,"深圳星期零",计提明细表!$J$4:$J$59,0.09)</f>
        <v/>
      </c>
      <c r="D25" s="12">
        <f>SUMIFS(计提明细表!$I$4:$I$59,计提明细表!$C$4:$C$59,$A25,计提明细表!$B$4:$B$59,"深圳星期零",计提明细表!$J$4:$J$59,0.06)</f>
        <v/>
      </c>
      <c r="E25" s="12">
        <f>SUMIFS(计提明细表!$I$4:$I$59,计提明细表!$C$4:$C$59,$A25,计提明细表!$B$4:$B$59,"深圳星期零",计提明细表!$J$4:$J$59,0.13)</f>
        <v/>
      </c>
      <c r="F25" s="12">
        <f>SUMIFS(计提明细表!$I$4:$I$59,计提明细表!$C$4:$C$59,$A25,计提明细表!$B$4:$B$59,"孝感星期九",计提明细表!$J$4:$J$59,0.09)</f>
        <v/>
      </c>
      <c r="G25" s="12">
        <f>SUMIFS(计提明细表!$I$4:$I$59,计提明细表!$C$4:$C$59,$A25,计提明细表!$B$4:$B$59,"孝感星期九",计提明细表!$J$4:$J$59,0.06)</f>
        <v/>
      </c>
      <c r="H25" s="12">
        <f>SUMIFS(计提明细表!$I$4:$I$59,计提明细表!$C$4:$C$59,$A25,计提明细表!$B$4:$B$59,"孝感星期九",计提明细表!$J$4:$J$59,0.13)</f>
        <v/>
      </c>
      <c r="I25" s="12">
        <f>SUMIFS(计提明细表!$I$4:$I$59,计提明细表!$C$4:$C$59,$A25,计提明细表!$B$4:$B$59,"深圳星期九",计提明细表!$J$4:$J$59,0.09)</f>
        <v/>
      </c>
      <c r="J25" s="12">
        <f>SUMIFS(计提明细表!$I$4:$I$59,计提明细表!$C$4:$C$59,$A25,计提明细表!$B$4:$B$59,"深圳星期九",计提明细表!$J$4:$J$59,0.06)</f>
        <v/>
      </c>
      <c r="K25" s="12">
        <f>SUMIFS(计提明细表!$I$4:$I$59,计提明细表!$C$4:$C$59,$A25,计提明细表!$B$4:$B$59,"深圳星期九",计提明细表!$J$4:$J$59,0.13)</f>
        <v/>
      </c>
      <c r="L25" s="38" t="n"/>
      <c r="M25" s="38" t="n"/>
      <c r="N25" s="38" t="n"/>
      <c r="O25" s="38" t="n"/>
      <c r="P25" s="38" t="n"/>
    </row>
    <row r="26">
      <c r="A26" s="7" t="inlineStr">
        <is>
          <t>合计</t>
        </is>
      </c>
      <c r="B26" s="20">
        <f>SUM(B4:B25)</f>
        <v/>
      </c>
      <c r="C26" s="20">
        <f>SUM(C4:C25)</f>
        <v/>
      </c>
      <c r="D26" s="20">
        <f>SUM(D4:D25)</f>
        <v/>
      </c>
      <c r="E26" s="20">
        <f>SUM(E4:E25)</f>
        <v/>
      </c>
      <c r="F26" s="20">
        <f>SUM(F4:F25)</f>
        <v/>
      </c>
      <c r="G26" s="20">
        <f>SUM(G4:G25)</f>
        <v/>
      </c>
      <c r="H26" s="20">
        <f>SUM(H4:H25)</f>
        <v/>
      </c>
      <c r="I26" s="20">
        <f>SUM(I4:I25)</f>
        <v/>
      </c>
      <c r="J26" s="20">
        <f>SUM(J4:J25)</f>
        <v/>
      </c>
      <c r="K26" s="20">
        <f>SUM(K4:K25)</f>
        <v/>
      </c>
    </row>
    <row r="28">
      <c r="A28" s="5" t="inlineStr">
        <is>
          <t>核对:含税合计列总计应=计提明细表 I60 合计;差异非0说明明细表有汇总表未覆盖的物流商(简称不在③清单)。</t>
        </is>
      </c>
    </row>
    <row r="29">
      <c r="A29" s="30">
        <f>B26-计提明细表!$I$60</f>
        <v/>
      </c>
      <c r="B29" s="5" t="inlineStr">
        <is>
          <t>←此格应为 0</t>
        </is>
      </c>
    </row>
  </sheetData>
  <mergeCells count="4">
    <mergeCell ref="C2:E2"/>
    <mergeCell ref="L2:P2"/>
    <mergeCell ref="F2:H2"/>
    <mergeCell ref="I2:K2"/>
  </mergeCells>
  <dataValidations count="1">
    <dataValidation sqref="L4:P25" showDropDown="0" showInputMessage="0" showErrorMessage="0" allowBlank="1" type="list">
      <formula1>=清单_状态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EFDA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24" customWidth="1" min="4" max="4"/>
    <col width="22" customWidth="1" min="5" max="5"/>
    <col width="12" customWidth="1" min="6" max="6"/>
    <col width="36" customWidth="1" min="7" max="7"/>
  </cols>
  <sheetData>
    <row r="1">
      <c r="A1" s="31" t="inlineStr">
        <is>
          <t>费用归属表(快照)——13类费用归属→费用项目/科目/部门/摘要用语。工具映射维表签发,财务改口径请改工具页面</t>
        </is>
      </c>
    </row>
    <row r="2">
      <c r="A2" s="6" t="inlineStr">
        <is>
          <t>主规则(默认行,一类一行,科目唯一)</t>
        </is>
      </c>
    </row>
    <row r="3">
      <c r="A3" s="7" t="inlineStr">
        <is>
          <t>费用归属</t>
        </is>
      </c>
      <c r="B3" s="7" t="inlineStr">
        <is>
          <t>费用项目</t>
        </is>
      </c>
      <c r="C3" s="7" t="inlineStr">
        <is>
          <t>借方科目</t>
        </is>
      </c>
      <c r="D3" s="7" t="inlineStr">
        <is>
          <t>默认部门</t>
        </is>
      </c>
      <c r="E3" s="7" t="inlineStr">
        <is>
          <t>贷方科目</t>
        </is>
      </c>
      <c r="F3" s="7" t="inlineStr">
        <is>
          <t>摘要用语</t>
        </is>
      </c>
      <c r="G3" s="7" t="inlineStr">
        <is>
          <t>典型场景</t>
        </is>
      </c>
    </row>
    <row r="4">
      <c r="A4" s="22" t="inlineStr">
        <is>
          <t>销售出库费用</t>
        </is>
      </c>
      <c r="B4" s="22" t="inlineStr">
        <is>
          <t>出库运费 FYXM008.002其他物流费用002</t>
        </is>
      </c>
      <c r="C4" s="22" t="inlineStr">
        <is>
          <t>6601 销售费用</t>
        </is>
      </c>
      <c r="D4" s="22" t="inlineStr">
        <is>
          <t>永续物流中心 0011401</t>
        </is>
      </c>
      <c r="E4" s="22" t="inlineStr">
        <is>
          <t>2241.02 其他应付款—供应商往来</t>
        </is>
      </c>
      <c r="F4" s="21" t="inlineStr">
        <is>
          <t>出库运费</t>
        </is>
      </c>
      <c r="G4" s="39" t="inlineStr">
        <is>
          <t>各线销售发货(装卸费未单列时含在内)</t>
        </is>
      </c>
    </row>
    <row r="5">
      <c r="A5" s="22" t="inlineStr">
        <is>
          <t>成品入库费用</t>
        </is>
      </c>
      <c r="B5" s="22" t="inlineStr">
        <is>
          <t>入库运费 FYXM002.002运费成本002</t>
        </is>
      </c>
      <c r="C5" s="22" t="inlineStr">
        <is>
          <t>6401 主营业务成本</t>
        </is>
      </c>
      <c r="D5" s="22" t="inlineStr">
        <is>
          <t>仓储物流部 0030301</t>
        </is>
      </c>
      <c r="E5" s="22" t="inlineStr">
        <is>
          <t>2241.02 其他应付款—供应商往来</t>
        </is>
      </c>
      <c r="F5" s="21" t="inlineStr">
        <is>
          <t>成品入库运费</t>
        </is>
      </c>
      <c r="G5" s="39" t="inlineStr">
        <is>
          <t>代工厂成品回仓、电商仓成品入仓</t>
        </is>
      </c>
    </row>
    <row r="6">
      <c r="A6" s="22" t="inlineStr">
        <is>
          <t>原料入库费用</t>
        </is>
      </c>
      <c r="B6" s="22" t="inlineStr">
        <is>
          <t>入库运费 FYXM002.002运费成本002</t>
        </is>
      </c>
      <c r="C6" s="22" t="inlineStr">
        <is>
          <t>5101 制造费用</t>
        </is>
      </c>
      <c r="D6" s="22" t="inlineStr">
        <is>
          <t>仓储物流部 0030301</t>
        </is>
      </c>
      <c r="E6" s="22" t="inlineStr">
        <is>
          <t>2241.02 其他应付款—供应商往来</t>
        </is>
      </c>
      <c r="F6" s="21" t="inlineStr">
        <is>
          <t>原料入库运费</t>
        </is>
      </c>
      <c r="G6" s="39" t="inlineStr">
        <is>
          <t>孝感工厂采购入库到付、小料原料入库(小料例外→茶饮小料部,公式/映射自动)</t>
        </is>
      </c>
    </row>
    <row r="7">
      <c r="A7" s="22" t="inlineStr">
        <is>
          <t>成品仓储费用</t>
        </is>
      </c>
      <c r="B7" s="22" t="inlineStr">
        <is>
          <t>货物仓储费 FYXM008.002其他物流费用001</t>
        </is>
      </c>
      <c r="C7" s="22" t="inlineStr">
        <is>
          <t>6601 销售费用</t>
        </is>
      </c>
      <c r="D7" s="22" t="inlineStr">
        <is>
          <t>永续物流中心 0011401</t>
        </is>
      </c>
      <c r="E7" s="22" t="inlineStr">
        <is>
          <t>2241.02 其他应付款—供应商往来</t>
        </is>
      </c>
      <c r="F7" s="21" t="inlineStr">
        <is>
          <t>成品仓储费</t>
        </is>
      </c>
      <c r="G7" s="39" t="inlineStr">
        <is>
          <t>小料/电商外仓、鲜食山姆仓</t>
        </is>
      </c>
    </row>
    <row r="8">
      <c r="A8" s="22" t="inlineStr">
        <is>
          <t>原料仓储费用</t>
        </is>
      </c>
      <c r="B8" s="22" t="inlineStr">
        <is>
          <t>货物仓储费 FYXM008.002其他物流费用001</t>
        </is>
      </c>
      <c r="C8" s="22" t="inlineStr">
        <is>
          <t>5101 制造费用</t>
        </is>
      </c>
      <c r="D8" s="22" t="inlineStr">
        <is>
          <t>仓储物流部 0030301</t>
        </is>
      </c>
      <c r="E8" s="22" t="inlineStr">
        <is>
          <t>2241.02 其他应付款—供应商往来</t>
        </is>
      </c>
      <c r="F8" s="21" t="inlineStr">
        <is>
          <t>原料仓储费</t>
        </is>
      </c>
      <c r="G8" s="39" t="inlineStr">
        <is>
          <t>木薯外仓仓储</t>
        </is>
      </c>
    </row>
    <row r="9">
      <c r="A9" s="22" t="inlineStr">
        <is>
          <t>成品调拨费用</t>
        </is>
      </c>
      <c r="B9" s="22" t="inlineStr">
        <is>
          <t>出库运费 FYXM008.002其他物流费用002</t>
        </is>
      </c>
      <c r="C9" s="22" t="inlineStr">
        <is>
          <t>6601 销售费用</t>
        </is>
      </c>
      <c r="D9" s="22" t="inlineStr">
        <is>
          <t>永续物流中心 0011401</t>
        </is>
      </c>
      <c r="E9" s="22" t="inlineStr">
        <is>
          <t>2241.02 其他应付款—供应商往来</t>
        </is>
      </c>
      <c r="F9" s="21" t="inlineStr">
        <is>
          <t>调拨运费</t>
        </is>
      </c>
      <c r="G9" s="39" t="inlineStr">
        <is>
          <t>成品仓间调拨、电商调拨</t>
        </is>
      </c>
    </row>
    <row r="10">
      <c r="A10" s="22" t="inlineStr">
        <is>
          <t>原料调拨费用</t>
        </is>
      </c>
      <c r="B10" s="22" t="inlineStr">
        <is>
          <t>入库运费 FYXM002.002运费成本002</t>
        </is>
      </c>
      <c r="C10" s="22" t="inlineStr">
        <is>
          <t>5101 制造费用</t>
        </is>
      </c>
      <c r="D10" s="22" t="inlineStr">
        <is>
          <t>仓储物流部 0030301</t>
        </is>
      </c>
      <c r="E10" s="22" t="inlineStr">
        <is>
          <t>2241.02 其他应付款—供应商往来</t>
        </is>
      </c>
      <c r="F10" s="21" t="inlineStr">
        <is>
          <t>调拨运费</t>
        </is>
      </c>
      <c r="G10" s="39" t="inlineStr">
        <is>
          <t>原料转仓</t>
        </is>
      </c>
    </row>
    <row r="11">
      <c r="A11" s="22" t="inlineStr">
        <is>
          <t>出库装卸费用</t>
        </is>
      </c>
      <c r="B11" s="22" t="inlineStr">
        <is>
          <t>出库运费 FYXM008.002其他物流费用002</t>
        </is>
      </c>
      <c r="C11" s="22" t="inlineStr">
        <is>
          <t>6601 销售费用</t>
        </is>
      </c>
      <c r="D11" s="22" t="inlineStr">
        <is>
          <t>永续物流中心 0011401</t>
        </is>
      </c>
      <c r="E11" s="22" t="inlineStr">
        <is>
          <t>2241.02 其他应付款—供应商往来</t>
        </is>
      </c>
      <c r="F11" s="21" t="inlineStr">
        <is>
          <t>装卸费</t>
        </is>
      </c>
      <c r="G11" s="39" t="inlineStr">
        <is>
          <t>天鹰:发货装车(账单单列才拆)</t>
        </is>
      </c>
    </row>
    <row r="12">
      <c r="A12" s="22" t="inlineStr">
        <is>
          <t>成品入库装卸费用</t>
        </is>
      </c>
      <c r="B12" s="22" t="inlineStr">
        <is>
          <t>入库运费 FYXM002.002运费成本002</t>
        </is>
      </c>
      <c r="C12" s="22" t="inlineStr">
        <is>
          <t>6401 主营业务成本</t>
        </is>
      </c>
      <c r="D12" s="22" t="inlineStr">
        <is>
          <t>仓储物流部 0030301</t>
        </is>
      </c>
      <c r="E12" s="22" t="inlineStr">
        <is>
          <t>2241.02 其他应付款—供应商往来</t>
        </is>
      </c>
      <c r="F12" s="21" t="inlineStr">
        <is>
          <t>装卸费</t>
        </is>
      </c>
      <c r="G12" s="39" t="inlineStr">
        <is>
          <t>天鹰:外仓成品调回卸货</t>
        </is>
      </c>
    </row>
    <row r="13">
      <c r="A13" s="22" t="inlineStr">
        <is>
          <t>原料入库装卸费用</t>
        </is>
      </c>
      <c r="B13" s="22" t="inlineStr">
        <is>
          <t>入库运费 FYXM002.002运费成本002</t>
        </is>
      </c>
      <c r="C13" s="22" t="inlineStr">
        <is>
          <t>5101 制造费用</t>
        </is>
      </c>
      <c r="D13" s="22" t="inlineStr">
        <is>
          <t>仓储物流部 0030301</t>
        </is>
      </c>
      <c r="E13" s="22" t="inlineStr">
        <is>
          <t>2241.02 其他应付款—供应商往来</t>
        </is>
      </c>
      <c r="F13" s="21" t="inlineStr">
        <is>
          <t>装卸费</t>
        </is>
      </c>
      <c r="G13" s="39" t="inlineStr">
        <is>
          <t>天鹰:原料卸货</t>
        </is>
      </c>
    </row>
    <row r="14">
      <c r="A14" s="22" t="inlineStr">
        <is>
          <t>研发设备采购</t>
        </is>
      </c>
      <c r="B14" s="22" t="inlineStr">
        <is>
          <t>研发外购 FYXM005.002研发费用001</t>
        </is>
      </c>
      <c r="C14" s="22" t="inlineStr">
        <is>
          <t>6604 研发费用</t>
        </is>
      </c>
      <c r="D14" s="22" t="inlineStr">
        <is>
          <t>永续研发中心 0010506</t>
        </is>
      </c>
      <c r="E14" s="22" t="inlineStr">
        <is>
          <t>2241.02 其他应付款—供应商往来</t>
        </is>
      </c>
      <c r="F14" s="21" t="inlineStr">
        <is>
          <t>研发运费</t>
        </is>
      </c>
      <c r="G14" s="39" t="inlineStr">
        <is>
          <t>研发外购、研发中试</t>
        </is>
      </c>
    </row>
    <row r="15">
      <c r="A15" s="22" t="inlineStr">
        <is>
          <t>设备调拨费用</t>
        </is>
      </c>
      <c r="B15" s="22" t="inlineStr">
        <is>
          <t>搬运费 FYXM005.003其他业务活动005</t>
        </is>
      </c>
      <c r="C15" s="22" t="inlineStr">
        <is>
          <t>🖐逐笔人工定(录入时财务选)</t>
        </is>
      </c>
      <c r="D15" s="22" t="inlineStr">
        <is>
          <t>🖐逐笔人工定(按需求)</t>
        </is>
      </c>
      <c r="E15" s="22" t="inlineStr">
        <is>
          <t>2241.02 其他应付款—供应商往来</t>
        </is>
      </c>
      <c r="F15" s="21" t="inlineStr">
        <is>
          <t>设备调拨运费</t>
        </is>
      </c>
      <c r="G15" s="39" t="inlineStr">
        <is>
          <t>设备转移、设备仓租——科目部门看每笔实际需求,业务方批注 2026-08-05</t>
        </is>
      </c>
    </row>
    <row r="16">
      <c r="A16" s="22" t="inlineStr">
        <is>
          <t>其它</t>
        </is>
      </c>
      <c r="B16" s="22" t="inlineStr">
        <is>
          <t>⚠待财务定</t>
        </is>
      </c>
      <c r="C16" s="22" t="inlineStr">
        <is>
          <t>🖐逐笔人工定(录入时财务选)</t>
        </is>
      </c>
      <c r="D16" s="22" t="inlineStr">
        <is>
          <t>🖐逐笔人工定(按需求)</t>
        </is>
      </c>
      <c r="E16" s="22" t="inlineStr">
        <is>
          <t>2241.02 其他应付款—供应商往来</t>
        </is>
      </c>
      <c r="F16" s="21" t="inlineStr">
        <is>
          <t>费用</t>
        </is>
      </c>
      <c r="G16" s="39" t="inlineStr">
        <is>
          <t>捐赠/报废、原料销售运费等兜底</t>
        </is>
      </c>
    </row>
    <row r="18">
      <c r="A18" s="6" t="inlineStr">
        <is>
          <t>例外行(三级取数:费用归属×主体 / 费用归属×业务线 覆盖默认行)</t>
        </is>
      </c>
    </row>
    <row r="19">
      <c r="A19" s="7" t="inlineStr">
        <is>
          <t>费用归属</t>
        </is>
      </c>
      <c r="B19" s="7" t="inlineStr">
        <is>
          <t>例外条件</t>
        </is>
      </c>
      <c r="C19" s="7" t="inlineStr">
        <is>
          <t>覆盖项</t>
        </is>
      </c>
      <c r="D19" s="7" t="inlineStr">
        <is>
          <t>覆盖值</t>
        </is>
      </c>
      <c r="E19" s="7" t="inlineStr">
        <is>
          <t>来源</t>
        </is>
      </c>
    </row>
    <row r="20">
      <c r="A20" s="22" t="inlineStr">
        <is>
          <t>销售出库费用</t>
        </is>
      </c>
      <c r="B20" s="22" t="inlineStr">
        <is>
          <t>主体=深圳星期九</t>
        </is>
      </c>
      <c r="C20" s="21" t="inlineStr">
        <is>
          <t>部门</t>
        </is>
      </c>
      <c r="D20" s="22" t="inlineStr">
        <is>
          <t>永续供应中心 0010401</t>
        </is>
      </c>
      <c r="E20" s="39" t="inlineStr">
        <is>
          <t>A期序时账实证</t>
        </is>
      </c>
    </row>
    <row r="21">
      <c r="A21" s="22" t="inlineStr">
        <is>
          <t>原料入库费用</t>
        </is>
      </c>
      <c r="B21" s="22" t="inlineStr">
        <is>
          <t>小料(业务线=小料)</t>
        </is>
      </c>
      <c r="C21" s="21" t="inlineStr">
        <is>
          <t>部门</t>
        </is>
      </c>
      <c r="D21" s="22" t="inlineStr">
        <is>
          <t>茶饮小料部 0030902(非小料=仓储物流部)</t>
        </is>
      </c>
      <c r="E21" s="39" t="inlineStr">
        <is>
          <t>业务方批注 2026-08-05 确认</t>
        </is>
      </c>
    </row>
    <row r="24">
      <c r="A24" s="6" t="inlineStr">
        <is>
          <t>计提凭证三行结构(固定·一行一张凭证·真凭证实证)</t>
        </is>
      </c>
    </row>
    <row r="25">
      <c r="A25" s="7" t="inlineStr">
        <is>
          <t>借/贷</t>
        </is>
      </c>
      <c r="B25" s="7" t="inlineStr">
        <is>
          <t>科目</t>
        </is>
      </c>
      <c r="C25" s="7" t="inlineStr">
        <is>
          <t>金额</t>
        </is>
      </c>
      <c r="D25" s="7" t="inlineStr">
        <is>
          <t>核算维度</t>
        </is>
      </c>
    </row>
    <row r="26">
      <c r="A26" s="22" t="inlineStr">
        <is>
          <t>借</t>
        </is>
      </c>
      <c r="B26" s="22" t="inlineStr">
        <is>
          <t>费用科目(按费用归属,见主规则)</t>
        </is>
      </c>
      <c r="C26" s="22" t="inlineStr">
        <is>
          <t>未税额</t>
        </is>
      </c>
      <c r="D26" s="22" t="inlineStr">
        <is>
          <t>部门+费用项目+产品分类(业务线)[+TO C]</t>
        </is>
      </c>
    </row>
    <row r="27">
      <c r="A27" s="22" t="inlineStr">
        <is>
          <t>借</t>
        </is>
      </c>
      <c r="B27" s="22" t="inlineStr">
        <is>
          <t>2221.01.07 应交税费—暂估进项税</t>
        </is>
      </c>
      <c r="C27" s="22" t="inlineStr">
        <is>
          <t>税额</t>
        </is>
      </c>
      <c r="D27" s="22" t="inlineStr">
        <is>
          <t>供应商</t>
        </is>
      </c>
    </row>
    <row r="28">
      <c r="A28" s="22" t="inlineStr">
        <is>
          <t>贷</t>
        </is>
      </c>
      <c r="B28" s="22" t="inlineStr">
        <is>
          <t>2241.02 其他应付款—供应商往来</t>
        </is>
      </c>
      <c r="C28" s="22" t="inlineStr">
        <is>
          <t>含税额</t>
        </is>
      </c>
      <c r="D28" s="22" t="inlineStr">
        <is>
          <t>供应商+供应商分组009(物流运输服务)</t>
        </is>
      </c>
    </row>
    <row r="30">
      <c r="A30" s="5" t="inlineStr">
        <is>
          <t>说明(维度实证=2026 序时账 1229 行物流计提凭证、30 种借方维度组合,2026-08-05 只读回查):</t>
        </is>
      </c>
    </row>
    <row r="31">
      <c r="A31" s="5" t="inlineStr">
        <is>
          <t>· 产品维度按业务线挂:鲜食/山姆零售→CPXM017(账证:鲜食入库行也挂);kikiherb→CPFL013+CPXM022(6月顺鸽已入账,独立业务线);产品项目不止 TO C 一个值。</t>
        </is>
      </c>
    </row>
    <row r="32">
      <c r="A32" s="5" t="inlineStr">
        <is>
          <t>· 仓储费部门按仓分(账证):孝感线下外仓(易风达等)→仓储物流部+挂孝感星期九簿;电商仓(比翼/顺鸽)/深零外仓→永续物流中心。明细表部门列可直接改。</t>
        </is>
      </c>
    </row>
    <row r="33">
      <c r="A33" s="5" t="inlineStr">
        <is>
          <t>· 原料销售运费实拼(账证,丰源1-4月):6402 其他业务支出 + FYXM002.004其他产品成本费用009原辅料及包装物 + 仓储物流部——「其它」类的实证归宿之一(D-7)。</t>
        </is>
      </c>
    </row>
    <row r="34">
      <c r="A34" s="5" t="inlineStr">
        <is>
          <t>· 🖐人工核对类=设备调拨/其它:科目部门不走自动映射,财务在明细表维度列或工具活表逐笔定(账证参考:设备转移深零→6604研发+搬运费/孝感→5101+搬运费)。</t>
        </is>
      </c>
    </row>
    <row r="35">
      <c r="A35" s="5" t="inlineStr">
        <is>
          <t>· 判定速查(业务方批注):销售出库/仓储→有业务线维度即齐;原料入库(5101)→部门分小料(茶饮小料部)/非小料(仓储物流部);成品入库(6401)→维度按业务线区分。</t>
        </is>
      </c>
    </row>
    <row r="36">
      <c r="A36" s="5" t="inlineStr">
        <is>
          <t>· ⚠成品6401/原料5101 口径、「其它」类科目——待财务终核(重构方案 D-4/D-7)。</t>
        </is>
      </c>
    </row>
    <row r="37">
      <c r="A37" s="5" t="inlineStr">
        <is>
          <t>· 本表为工具「映射维表」页面的只读快照;改口径→财务在工具改,当月签发模板即生效。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付款主体</t>
        </is>
      </c>
      <c r="B1" s="2" t="inlineStr">
        <is>
          <t>业务线</t>
        </is>
      </c>
      <c r="C1" s="2" t="inlineStr">
        <is>
          <t>费用归属</t>
        </is>
      </c>
      <c r="E1" s="2" t="inlineStr">
        <is>
          <t>结算类型</t>
        </is>
      </c>
      <c r="G1" s="2" t="inlineStr">
        <is>
          <t>状态</t>
        </is>
      </c>
      <c r="H1" s="2" t="inlineStr">
        <is>
          <t>业务线</t>
        </is>
      </c>
      <c r="I1" s="2" t="inlineStr">
        <is>
          <t>产品分类编码</t>
        </is>
      </c>
      <c r="J1" s="2" t="inlineStr">
        <is>
          <t>产品项目编码</t>
        </is>
      </c>
    </row>
    <row r="2">
      <c r="A2" s="2" t="inlineStr">
        <is>
          <t>深圳星期零</t>
        </is>
      </c>
      <c r="B2" s="2" t="inlineStr">
        <is>
          <t>植物肉</t>
        </is>
      </c>
      <c r="C2" s="2" t="inlineStr">
        <is>
          <t>销售出库费用</t>
        </is>
      </c>
      <c r="E2" s="2" t="inlineStr">
        <is>
          <t>月结</t>
        </is>
      </c>
      <c r="G2" s="2" t="inlineStr">
        <is>
          <t>未开始</t>
        </is>
      </c>
      <c r="H2" s="2" t="inlineStr">
        <is>
          <t>植物肉</t>
        </is>
      </c>
      <c r="I2" s="2" t="inlineStr">
        <is>
          <t>CPFL007</t>
        </is>
      </c>
      <c r="J2" s="2" t="inlineStr"/>
    </row>
    <row r="3">
      <c r="A3" s="2" t="inlineStr">
        <is>
          <t>孝感星期九</t>
        </is>
      </c>
      <c r="B3" s="2" t="inlineStr">
        <is>
          <t>鲜食</t>
        </is>
      </c>
      <c r="C3" s="2" t="inlineStr">
        <is>
          <t>成品入库费用</t>
        </is>
      </c>
      <c r="E3" s="2" t="inlineStr">
        <is>
          <t>非月结</t>
        </is>
      </c>
      <c r="G3" s="2" t="inlineStr">
        <is>
          <t>已计提</t>
        </is>
      </c>
      <c r="H3" s="2" t="inlineStr">
        <is>
          <t>鲜食</t>
        </is>
      </c>
      <c r="I3" s="2" t="inlineStr">
        <is>
          <t>CPFL010</t>
        </is>
      </c>
      <c r="J3" s="2" t="inlineStr">
        <is>
          <t>CPXM017</t>
        </is>
      </c>
    </row>
    <row r="4">
      <c r="A4" s="2" t="inlineStr">
        <is>
          <t>深圳星期九</t>
        </is>
      </c>
      <c r="B4" s="2" t="inlineStr">
        <is>
          <t>零售</t>
        </is>
      </c>
      <c r="C4" s="2" t="inlineStr">
        <is>
          <t>原料入库费用</t>
        </is>
      </c>
      <c r="G4" s="2" t="inlineStr">
        <is>
          <t>对账定稿</t>
        </is>
      </c>
      <c r="H4" s="2" t="inlineStr">
        <is>
          <t>零售</t>
        </is>
      </c>
      <c r="I4" s="2" t="inlineStr">
        <is>
          <t>CPFL011</t>
        </is>
      </c>
      <c r="J4" s="2" t="inlineStr"/>
    </row>
    <row r="5">
      <c r="B5" s="2" t="inlineStr">
        <is>
          <t>小料</t>
        </is>
      </c>
      <c r="C5" s="2" t="inlineStr">
        <is>
          <t>成品仓储费用</t>
        </is>
      </c>
      <c r="G5" s="2" t="inlineStr">
        <is>
          <t>已开票</t>
        </is>
      </c>
      <c r="H5" s="2" t="inlineStr">
        <is>
          <t>小料</t>
        </is>
      </c>
      <c r="I5" s="2" t="inlineStr">
        <is>
          <t>CPFL009</t>
        </is>
      </c>
      <c r="J5" s="2" t="inlineStr"/>
    </row>
    <row r="6">
      <c r="B6" s="2" t="inlineStr">
        <is>
          <t>豆蛋制品</t>
        </is>
      </c>
      <c r="C6" s="2" t="inlineStr">
        <is>
          <t>原料仓储费用</t>
        </is>
      </c>
      <c r="G6" s="2" t="inlineStr">
        <is>
          <t>已请款</t>
        </is>
      </c>
      <c r="H6" s="2" t="inlineStr">
        <is>
          <t>豆蛋制品</t>
        </is>
      </c>
      <c r="I6" s="2" t="inlineStr">
        <is>
          <t>CPFL008</t>
        </is>
      </c>
      <c r="J6" s="2" t="inlineStr"/>
    </row>
    <row r="7">
      <c r="B7" s="2" t="inlineStr">
        <is>
          <t>电商</t>
        </is>
      </c>
      <c r="C7" s="2" t="inlineStr">
        <is>
          <t>成品调拨费用</t>
        </is>
      </c>
      <c r="G7" s="2" t="inlineStr">
        <is>
          <t>已付款</t>
        </is>
      </c>
      <c r="H7" s="2" t="inlineStr">
        <is>
          <t>电商</t>
        </is>
      </c>
      <c r="I7" s="2" t="inlineStr">
        <is>
          <t>CPFL002</t>
        </is>
      </c>
      <c r="J7" s="2" t="inlineStr"/>
    </row>
    <row r="8">
      <c r="B8" s="2" t="inlineStr">
        <is>
          <t>山姆零售</t>
        </is>
      </c>
      <c r="C8" s="2" t="inlineStr">
        <is>
          <t>原料调拨费用</t>
        </is>
      </c>
      <c r="H8" s="2" t="inlineStr">
        <is>
          <t>山姆零售</t>
        </is>
      </c>
      <c r="I8" s="2" t="inlineStr">
        <is>
          <t>CPFL011</t>
        </is>
      </c>
      <c r="J8" s="2" t="inlineStr">
        <is>
          <t>CPXM017</t>
        </is>
      </c>
    </row>
    <row r="9">
      <c r="B9" s="2" t="inlineStr">
        <is>
          <t>kikiherb</t>
        </is>
      </c>
      <c r="C9" s="2" t="inlineStr">
        <is>
          <t>出库装卸费用</t>
        </is>
      </c>
      <c r="H9" s="2" t="inlineStr">
        <is>
          <t>kikiherb</t>
        </is>
      </c>
      <c r="I9" s="2" t="inlineStr">
        <is>
          <t>CPFL013</t>
        </is>
      </c>
      <c r="J9" s="2" t="inlineStr">
        <is>
          <t>CPXM022</t>
        </is>
      </c>
    </row>
    <row r="10">
      <c r="B10" s="2" t="inlineStr">
        <is>
          <t>海外</t>
        </is>
      </c>
      <c r="C10" s="2" t="inlineStr">
        <is>
          <t>成品入库装卸费用</t>
        </is>
      </c>
      <c r="H10" s="2" t="inlineStr">
        <is>
          <t>海外</t>
        </is>
      </c>
      <c r="I10" s="2" t="inlineStr"/>
      <c r="J10" s="2" t="inlineStr"/>
    </row>
    <row r="11">
      <c r="B11" s="2" t="inlineStr">
        <is>
          <t>—</t>
        </is>
      </c>
      <c r="C11" s="2" t="inlineStr">
        <is>
          <t>原料入库装卸费用</t>
        </is>
      </c>
      <c r="H11" s="2" t="inlineStr">
        <is>
          <t>—</t>
        </is>
      </c>
      <c r="I11" s="2" t="inlineStr"/>
      <c r="J11" s="2" t="inlineStr"/>
    </row>
    <row r="12">
      <c r="C12" s="2" t="inlineStr">
        <is>
          <t>研发设备采购</t>
        </is>
      </c>
    </row>
    <row r="13">
      <c r="C13" s="2" t="inlineStr">
        <is>
          <t>设备调拨费用</t>
        </is>
      </c>
    </row>
    <row r="14">
      <c r="C14" s="2" t="inlineStr">
        <is>
          <t>其它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2026-08-05T13:04:39Z</dcterms:created>
  <dcterms:modified xsi:type="dcterms:W3CDTF">2026-08-05T13:04:39Z</dcterms:modified>
</cp:coreProperties>
</file>